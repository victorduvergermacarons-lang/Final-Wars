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ilities" sheetId="1" state="visible" r:id="rId3"/>
    <sheet name="Tiers" sheetId="2" state="visible" r:id="rId4"/>
    <sheet name="Trees" sheetId="3" state="visible" r:id="rId5"/>
    <sheet name="Rules &amp; Legend" sheetId="4" state="visible" r:id="rId6"/>
  </sheets>
  <definedNames>
    <definedName function="false" hidden="true" localSheetId="0" name="_xlnm._FilterDatabase" vbProcedure="false">Abilities!$A$1:$T$146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<sst xmlns="http://schemas.openxmlformats.org/spreadsheetml/2006/main" count="2001" uniqueCount="963">
  <si>
    <t xml:space="preserve">ID</t>
  </si>
  <si>
    <t xml:space="preserve">Tree</t>
  </si>
  <si>
    <t xml:space="preserve">Branch</t>
  </si>
  <si>
    <t xml:space="preserve">Tier</t>
  </si>
  <si>
    <t xml:space="preserve">Mastery Required</t>
  </si>
  <si>
    <t xml:space="preserve">Ability</t>
  </si>
  <si>
    <t xml:space="preserve">Role</t>
  </si>
  <si>
    <t xml:space="preserve">Prerequisites</t>
  </si>
  <si>
    <t xml:space="preserve">Item Type</t>
  </si>
  <si>
    <t xml:space="preserve">Taught By</t>
  </si>
  <si>
    <t xml:space="preserve">Scales With</t>
  </si>
  <si>
    <t xml:space="preserve">Effect</t>
  </si>
  <si>
    <t xml:space="preserve">Targeting</t>
  </si>
  <si>
    <t xml:space="preserve">Targeting Details</t>
  </si>
  <si>
    <t xml:space="preserve">Cooldown (s)</t>
  </si>
  <si>
    <t xml:space="preserve">Mastery on Learn</t>
  </si>
  <si>
    <t xml:space="preserve">Mastery per Use</t>
  </si>
  <si>
    <t xml:space="preserve">Mastery Cap</t>
  </si>
  <si>
    <t xml:space="preserve">Mastery Contribution</t>
  </si>
  <si>
    <t xml:space="preserve">Notes</t>
  </si>
  <si>
    <t xml:space="preserve">F01</t>
  </si>
  <si>
    <t xml:space="preserve">Fire</t>
  </si>
  <si>
    <t xml:space="preserve">Flame Martial</t>
  </si>
  <si>
    <t xml:space="preserve">Fire Punch</t>
  </si>
  <si>
    <t xml:space="preserve">Damage</t>
  </si>
  <si>
    <t xml:space="preserve">—</t>
  </si>
  <si>
    <t xml:space="preserve">Scroll</t>
  </si>
  <si>
    <t xml:space="preserve">Ember Fist Scroll</t>
  </si>
  <si>
    <t xml:space="preserve">Fire Mastery, Magic Atk</t>
  </si>
  <si>
    <t xml:space="preserve">Quick flaming jab on an adjacent enemy.</t>
  </si>
  <si>
    <t xml:space="preserve">Targeted</t>
  </si>
  <si>
    <t xml:space="preserve">Adjacent enemy. Locks on; can't miss.</t>
  </si>
  <si>
    <t xml:space="preserve">+5 Fire Mastery when learned, +0.2 per use vs. enemies near your level, up to 50</t>
  </si>
  <si>
    <t xml:space="preserve">F02</t>
  </si>
  <si>
    <t xml:space="preserve">Fire Kick</t>
  </si>
  <si>
    <t xml:space="preserve">Cinder Kick Scroll</t>
  </si>
  <si>
    <t xml:space="preserve">Flaming kick on an adjacent enemy; applies a short burn.</t>
  </si>
  <si>
    <t xml:space="preserve">Adjacent enemy. Locks on; the burn always applies.</t>
  </si>
  <si>
    <t xml:space="preserve">F03</t>
  </si>
  <si>
    <t xml:space="preserve">Fire Blasts</t>
  </si>
  <si>
    <t xml:space="preserve">Fire Dart</t>
  </si>
  <si>
    <t xml:space="preserve">Spark Scroll</t>
  </si>
  <si>
    <t xml:space="preserve">Small bolt of flame, range 4.</t>
  </si>
  <si>
    <t xml:space="preserve">Skillshot</t>
  </si>
  <si>
    <t xml:space="preserve">Aim at an enemy within 4. Fast bolt at any angle; hits the first unit in its path. Very hard to dodge.</t>
  </si>
  <si>
    <t xml:space="preserve">F04</t>
  </si>
  <si>
    <t xml:space="preserve">Kindle</t>
  </si>
  <si>
    <t xml:space="preserve">Self buff</t>
  </si>
  <si>
    <t xml:space="preserve">Kindling Scroll</t>
  </si>
  <si>
    <t xml:space="preserve">Your next 3 fire abilities deal bonus damage.</t>
  </si>
  <si>
    <t xml:space="preserve">Self</t>
  </si>
  <si>
    <t xml:space="preserve">No target.</t>
  </si>
  <si>
    <t xml:space="preserve">+5 Fire Mastery when learned, +0.4 per use vs. enemies near your level, up to 50</t>
  </si>
  <si>
    <t xml:space="preserve">F05</t>
  </si>
  <si>
    <t xml:space="preserve">Flame Dash</t>
  </si>
  <si>
    <t xml:space="preserve">Mobility</t>
  </si>
  <si>
    <t xml:space="preserve">Scroll of Burning Feet</t>
  </si>
  <si>
    <t xml:space="preserve">Dash up to 3 tiles on flaming feet, burning the tiles behind you. Charges: 1, +1 per 300 Fire Mastery.</t>
  </si>
  <si>
    <t xml:space="preserve">Ground</t>
  </si>
  <si>
    <t xml:space="preserve">Pick a tile up to 3 away in one of 8 directions. You dash in a straight line and stop early at walls, units or ledges you can't climb.</t>
  </si>
  <si>
    <t xml:space="preserve">+10 Fire Mastery when learned, +0.3 per use vs. enemies near your level, up to 70</t>
  </si>
  <si>
    <t xml:space="preserve">F06</t>
  </si>
  <si>
    <t xml:space="preserve">Fire Whip</t>
  </si>
  <si>
    <t xml:space="preserve">Lash of Embers Scroll</t>
  </si>
  <si>
    <t xml:space="preserve">Lash a straight line of 3 tiles.</t>
  </si>
  <si>
    <t xml:space="preserve">Aim one of 8 directions. Instant 3-tile line; hits every enemy in it.</t>
  </si>
  <si>
    <t xml:space="preserve">F07</t>
  </si>
  <si>
    <t xml:space="preserve">Fireball</t>
  </si>
  <si>
    <t xml:space="preserve">AoE damage</t>
  </si>
  <si>
    <t xml:space="preserve">Scroll of the Fireball</t>
  </si>
  <si>
    <t xml:space="preserve">Range 5; explodes on all tiles within 1 of the target.</t>
  </si>
  <si>
    <t xml:space="preserve">Pick a tile within 5. The 3x3 blast area flashes for 0.4s before impact; step out to dodge.</t>
  </si>
  <si>
    <t xml:space="preserve">F08</t>
  </si>
  <si>
    <t xml:space="preserve">Burning Ground</t>
  </si>
  <si>
    <t xml:space="preserve">Scorched Earth Scroll</t>
  </si>
  <si>
    <t xml:space="preserve">Set a 3x3 area ablaze for 6s.</t>
  </si>
  <si>
    <t xml:space="preserve">Pick a tile within 4. Zone appears instantly; enemies burn only while standing in it.</t>
  </si>
  <si>
    <t xml:space="preserve">+10 Fire Mastery when learned, +0.6 per use vs. enemies near your level, up to 70</t>
  </si>
  <si>
    <t xml:space="preserve">F09</t>
  </si>
  <si>
    <t xml:space="preserve">Blazing Combo</t>
  </si>
  <si>
    <t xml:space="preserve">Fire Punch; Fire Kick</t>
  </si>
  <si>
    <t xml:space="preserve">Blazing Fist Scroll</t>
  </si>
  <si>
    <t xml:space="preserve">Three-hit combo; the last hit knocks the target back 1 tile.</t>
  </si>
  <si>
    <t xml:space="preserve">Adjacent enemy. The final hit pushes it directly away from you (snapped to 8 directions).</t>
  </si>
  <si>
    <t xml:space="preserve">F10</t>
  </si>
  <si>
    <t xml:space="preserve">Flame Wheel</t>
  </si>
  <si>
    <t xml:space="preserve">Wheel of Flame Scroll</t>
  </si>
  <si>
    <t xml:space="preserve">Spinning kick hitting every adjacent enemy; bonus damage for each Flame Dash charge spent in the last 5s.</t>
  </si>
  <si>
    <t xml:space="preserve">Hits all 8 tiles around you.</t>
  </si>
  <si>
    <t xml:space="preserve">+15 Fire Mastery when learned, +0.8 per use vs. enemies near your level, up to 100</t>
  </si>
  <si>
    <t xml:space="preserve">F11</t>
  </si>
  <si>
    <t xml:space="preserve">Jet Propulsion</t>
  </si>
  <si>
    <t xml:space="preserve">Scroll of Rising Jets</t>
  </si>
  <si>
    <t xml:space="preserve">Fly on fire jets for 3s, ignoring height and gaps.</t>
  </si>
  <si>
    <t xml:space="preserve">No target; move freely while it lasts.</t>
  </si>
  <si>
    <t xml:space="preserve">F12</t>
  </si>
  <si>
    <t xml:space="preserve">Fire Stream</t>
  </si>
  <si>
    <t xml:space="preserve">Firestream Scroll</t>
  </si>
  <si>
    <t xml:space="preserve">Channel a 4-tile line of fire for 2s.</t>
  </si>
  <si>
    <t xml:space="preserve">Aim at any angle. The beam covers the 4 tiles along that line; you can slowly rotate it while channeling.</t>
  </si>
  <si>
    <t xml:space="preserve">F13</t>
  </si>
  <si>
    <t xml:space="preserve">Heat Wave</t>
  </si>
  <si>
    <t xml:space="preserve">Debuff</t>
  </si>
  <si>
    <t xml:space="preserve">Shimmering Heat Scroll</t>
  </si>
  <si>
    <t xml:space="preserve">3-tile cone that lowers enemy Magic Defense for 8s.</t>
  </si>
  <si>
    <t xml:space="preserve">Aim one of 8 directions. Cone covers the tiles in front of you.</t>
  </si>
  <si>
    <t xml:space="preserve">F14</t>
  </si>
  <si>
    <t xml:space="preserve">Breath of Fire</t>
  </si>
  <si>
    <t xml:space="preserve">Fire Whip; Heat Wave</t>
  </si>
  <si>
    <t xml:space="preserve">Dragon's Breath Scroll</t>
  </si>
  <si>
    <t xml:space="preserve">Exhale a 4-tile cone of fire.</t>
  </si>
  <si>
    <t xml:space="preserve">Aim one of 8 directions. 4-tile cone in front of you.</t>
  </si>
  <si>
    <t xml:space="preserve">F15</t>
  </si>
  <si>
    <t xml:space="preserve">Phoenix Kick</t>
  </si>
  <si>
    <t xml:space="preserve">Phoenix Scroll</t>
  </si>
  <si>
    <t xml:space="preserve">Leap to an enemy within 4 tiles and crash down on every tile within 1.</t>
  </si>
  <si>
    <t xml:space="preserve">Pick an enemy within 4. You land on a free tile next to it; the AoE centers on you.</t>
  </si>
  <si>
    <t xml:space="preserve">+25 Fire Mastery when learned, +1.0 per use vs. enemies near your level, up to 150</t>
  </si>
  <si>
    <t xml:space="preserve">F16</t>
  </si>
  <si>
    <t xml:space="preserve">Inferno</t>
  </si>
  <si>
    <t xml:space="preserve">Fire Stream; Breath of Fire</t>
  </si>
  <si>
    <t xml:space="preserve">Inferno Codex</t>
  </si>
  <si>
    <t xml:space="preserve">Firestorm over a 5x5 area for 4s.</t>
  </si>
  <si>
    <t xml:space="preserve">Pick a tile within 6. The 5x5 area is outlined for 0.75s before it ignites.</t>
  </si>
  <si>
    <t xml:space="preserve">+25 Fire Mastery when learned, +2.0 per use vs. enemies near your level, up to 150</t>
  </si>
  <si>
    <t xml:space="preserve">F17</t>
  </si>
  <si>
    <t xml:space="preserve">Advanced Fire</t>
  </si>
  <si>
    <t xml:space="preserve">Lightning Bolt</t>
  </si>
  <si>
    <t xml:space="preserve">Burst damage</t>
  </si>
  <si>
    <t xml:space="preserve">Fire Stream; Air Mastery 350</t>
  </si>
  <si>
    <t xml:space="preserve">Storm-Fire Scroll</t>
  </si>
  <si>
    <t xml:space="preserve">Fire Mastery, Magic Atk, Crit Rate</t>
  </si>
  <si>
    <t xml:space="preserve">1s charge, then a range-8 strike with doubled crit chance.</t>
  </si>
  <si>
    <t xml:space="preserve">Pick an enemy within 8. Lightning can't miss, but the 1s charge can be interrupted, and it fails if the target breaks line of sight.</t>
  </si>
  <si>
    <t xml:space="preserve">F18</t>
  </si>
  <si>
    <t xml:space="preserve">Combustion Blast</t>
  </si>
  <si>
    <t xml:space="preserve">Scroll of the Third Eye</t>
  </si>
  <si>
    <t xml:space="preserve">Telegraphed for 1s, range 10; huge explosion within 1 tile.</t>
  </si>
  <si>
    <t xml:space="preserve">Pick a tile within 10. The marker is visible to enemies for 1s, then explodes.</t>
  </si>
  <si>
    <t xml:space="preserve">F19</t>
  </si>
  <si>
    <t xml:space="preserve">Lightning Redirection</t>
  </si>
  <si>
    <t xml:space="preserve">Counter</t>
  </si>
  <si>
    <t xml:space="preserve">Scroll of Redirected Lightning</t>
  </si>
  <si>
    <t xml:space="preserve">For 1.5s, absorb the next enemy spell and fire it back as lightning.</t>
  </si>
  <si>
    <t xml:space="preserve">Timed counter. The next enemy spell that would hit you within 1.5s is sent back at its caster (can't miss).</t>
  </si>
  <si>
    <t xml:space="preserve">+50 Fire Mastery when learned, +4.0 per use vs. enemies near your level, up to 200</t>
  </si>
  <si>
    <t xml:space="preserve">F20</t>
  </si>
  <si>
    <t xml:space="preserve">Blue Fire</t>
  </si>
  <si>
    <t xml:space="preserve">Azure Flame Codex</t>
  </si>
  <si>
    <t xml:space="preserve">15s: fire damage +30% and burns ignore half of Magic Defense.</t>
  </si>
  <si>
    <t xml:space="preserve">+50 Fire Mastery when learned, +10.0 per use vs. enemies near your level, up to 200</t>
  </si>
  <si>
    <t xml:space="preserve">F21</t>
  </si>
  <si>
    <t xml:space="preserve">Solar Zenith</t>
  </si>
  <si>
    <t xml:space="preserve">Phoenix Kick; Inferno</t>
  </si>
  <si>
    <t xml:space="preserve">Codex of the Zenith Sun</t>
  </si>
  <si>
    <t xml:space="preserve">12s: all fire ability cooldowns are halved.</t>
  </si>
  <si>
    <t xml:space="preserve">E01</t>
  </si>
  <si>
    <t xml:space="preserve">Earth</t>
  </si>
  <si>
    <t xml:space="preserve">Stone Guard</t>
  </si>
  <si>
    <t xml:space="preserve">Rock Throw</t>
  </si>
  <si>
    <t xml:space="preserve">Pebble Scroll</t>
  </si>
  <si>
    <t xml:space="preserve">Earth Mastery, Phys Atk</t>
  </si>
  <si>
    <t xml:space="preserve">Hurl a rock, range 4.</t>
  </si>
  <si>
    <t xml:space="preserve">Aim at an enemy within 4. The rock arcs over low obstacles and lands on that tile after 0.3s; misses if the target moved.</t>
  </si>
  <si>
    <t xml:space="preserve">+5 Earth Mastery when learned, +0.2 per use vs. enemies near your level, up to 50</t>
  </si>
  <si>
    <t xml:space="preserve">E02</t>
  </si>
  <si>
    <t xml:space="preserve">Stone Skin</t>
  </si>
  <si>
    <t xml:space="preserve">Granite Skin Scroll</t>
  </si>
  <si>
    <t xml:space="preserve">Earth Mastery, Phys Def</t>
  </si>
  <si>
    <t xml:space="preserve">Gain Physical Defense for 10s.</t>
  </si>
  <si>
    <t xml:space="preserve">+5 Earth Mastery when learned, +0.4 per use vs. enemies near your level, up to 50</t>
  </si>
  <si>
    <t xml:space="preserve">E03</t>
  </si>
  <si>
    <t xml:space="preserve">Terraform</t>
  </si>
  <si>
    <t xml:space="preserve">Raise Pillar</t>
  </si>
  <si>
    <t xml:space="preserve">Terrain</t>
  </si>
  <si>
    <t xml:space="preserve">Pillar Scroll</t>
  </si>
  <si>
    <t xml:space="preserve">Earth Mastery</t>
  </si>
  <si>
    <t xml:space="preserve">Raise a tile 1 height level for 15s (2 levels at 500 Earth Mastery).</t>
  </si>
  <si>
    <t xml:space="preserve">Pick a tile within 3. Any unit on it is lifted with the tile.</t>
  </si>
  <si>
    <t xml:space="preserve">E04</t>
  </si>
  <si>
    <t xml:space="preserve">Seismic Stomp</t>
  </si>
  <si>
    <t xml:space="preserve">Taunt</t>
  </si>
  <si>
    <t xml:space="preserve">Stomp Scroll</t>
  </si>
  <si>
    <t xml:space="preserve">Taunt adjacent enemies for 4s.</t>
  </si>
  <si>
    <t xml:space="preserve">Taunts every enemy on the 8 tiles around you.</t>
  </si>
  <si>
    <t xml:space="preserve">E05</t>
  </si>
  <si>
    <t xml:space="preserve">Earth Wall</t>
  </si>
  <si>
    <t xml:space="preserve">Bulwark Scroll</t>
  </si>
  <si>
    <t xml:space="preserve">Raise a 3-tile wall (+2 height) that blocks movement and line of sight for 12s. +1 length per 300 Earth Mastery.</t>
  </si>
  <si>
    <t xml:space="preserve">Pick a tile within 4. The wall rises crosswise to the direction you're facing; skips tiles occupied by units.</t>
  </si>
  <si>
    <t xml:space="preserve">+10 Earth Mastery when learned, +0.6 per use vs. enemies near your level, up to 70</t>
  </si>
  <si>
    <t xml:space="preserve">E06</t>
  </si>
  <si>
    <t xml:space="preserve">Sinkhole</t>
  </si>
  <si>
    <t xml:space="preserve">Terrain / CC</t>
  </si>
  <si>
    <t xml:space="preserve">Sinkhole Scroll</t>
  </si>
  <si>
    <t xml:space="preserve">Lower a tile 1 level; an enemy on it is rooted for 2s.</t>
  </si>
  <si>
    <t xml:space="preserve">Pick a tile within 4. 0.3s rumble, then whoever stands on it is rooted.</t>
  </si>
  <si>
    <t xml:space="preserve">E07</t>
  </si>
  <si>
    <t xml:space="preserve">Boulder Shield</t>
  </si>
  <si>
    <t xml:space="preserve">Shield</t>
  </si>
  <si>
    <t xml:space="preserve">Boulder Scroll</t>
  </si>
  <si>
    <t xml:space="preserve">Absorb shield on yourself; size scales with Earth Mastery.</t>
  </si>
  <si>
    <t xml:space="preserve">E08</t>
  </si>
  <si>
    <t xml:space="preserve">Rumbling Taunt</t>
  </si>
  <si>
    <t xml:space="preserve">Rumble Scroll</t>
  </si>
  <si>
    <t xml:space="preserve">Taunt all enemies within 2 tiles for 5s.</t>
  </si>
  <si>
    <t xml:space="preserve">All enemies within 2 tiles.</t>
  </si>
  <si>
    <t xml:space="preserve">E09</t>
  </si>
  <si>
    <t xml:space="preserve">Earth Ramp</t>
  </si>
  <si>
    <t xml:space="preserve">Scroll of the Stone Path</t>
  </si>
  <si>
    <t xml:space="preserve">Shape a ramp so allies can climb up to 3 height levels.</t>
  </si>
  <si>
    <t xml:space="preserve">Pick a tile within 3 and a direction; the ramp builds from there.</t>
  </si>
  <si>
    <t xml:space="preserve">E10</t>
  </si>
  <si>
    <t xml:space="preserve">Fortress Stance</t>
  </si>
  <si>
    <t xml:space="preserve">Damage reduction</t>
  </si>
  <si>
    <t xml:space="preserve">Boulder Shield; Rumbling Taunt</t>
  </si>
  <si>
    <t xml:space="preserve">Fortress Scroll</t>
  </si>
  <si>
    <t xml:space="preserve">Take 40% less damage for 6s but cannot move.</t>
  </si>
  <si>
    <t xml:space="preserve">+15 Earth Mastery when learned, +1.6 per use vs. enemies near your level, up to 100</t>
  </si>
  <si>
    <t xml:space="preserve">E11</t>
  </si>
  <si>
    <t xml:space="preserve">Earthquake</t>
  </si>
  <si>
    <t xml:space="preserve">AoE / CC</t>
  </si>
  <si>
    <t xml:space="preserve">Quake Scroll</t>
  </si>
  <si>
    <t xml:space="preserve">3x3 damage and slow; shuffles tile heights by ±1.</t>
  </si>
  <si>
    <t xml:space="preserve">Pick a tile within 5. Cracks show the 3x3 area for 0.5s first.</t>
  </si>
  <si>
    <t xml:space="preserve">+15 Earth Mastery when learned, +0.8 per use vs. enemies near your level, up to 100</t>
  </si>
  <si>
    <t xml:space="preserve">E12</t>
  </si>
  <si>
    <t xml:space="preserve">Trench</t>
  </si>
  <si>
    <t xml:space="preserve">Trench Scroll</t>
  </si>
  <si>
    <t xml:space="preserve">Carve a 4-tile trench 2 levels deep.</t>
  </si>
  <si>
    <t xml:space="preserve">Pick a start tile within 3 and a direction; carves 4 tiles.</t>
  </si>
  <si>
    <t xml:space="preserve">E13</t>
  </si>
  <si>
    <t xml:space="preserve">Seismic Sense</t>
  </si>
  <si>
    <t xml:space="preserve">Utility</t>
  </si>
  <si>
    <t xml:space="preserve">Scroll of Seismic Sight</t>
  </si>
  <si>
    <t xml:space="preserve">Reveal hidden enemies and traps within 6 tiles for 10s.</t>
  </si>
  <si>
    <t xml:space="preserve">Radius 6 around you.</t>
  </si>
  <si>
    <t xml:space="preserve">E14</t>
  </si>
  <si>
    <t xml:space="preserve">Earth Armor</t>
  </si>
  <si>
    <t xml:space="preserve">Stone Armor Codex</t>
  </si>
  <si>
    <t xml:space="preserve">Encase yourself in rock for 15s: large Physical Defense boost, steps 50% slower.</t>
  </si>
  <si>
    <t xml:space="preserve">E15</t>
  </si>
  <si>
    <t xml:space="preserve">Specialty Bending</t>
  </si>
  <si>
    <t xml:space="preserve">Metalbending</t>
  </si>
  <si>
    <t xml:space="preserve">Debuff / CC</t>
  </si>
  <si>
    <t xml:space="preserve">Iron Will Scroll</t>
  </si>
  <si>
    <t xml:space="preserve">Bend an enemy's armor: lower its Physical Defense and pull it 2 tiles toward you.</t>
  </si>
  <si>
    <t xml:space="preserve">Enemy within 4. Pulls it toward you along a straight tile line; stops at obstacles.</t>
  </si>
  <si>
    <t xml:space="preserve">+25 Earth Mastery when learned, +1.0 per use vs. enemies near your level, up to 150</t>
  </si>
  <si>
    <t xml:space="preserve">E16</t>
  </si>
  <si>
    <t xml:space="preserve">Sandstorm</t>
  </si>
  <si>
    <t xml:space="preserve">AoE debuff</t>
  </si>
  <si>
    <t xml:space="preserve">Earthquake; Air Mastery 350</t>
  </si>
  <si>
    <t xml:space="preserve">Desert Wind Scroll</t>
  </si>
  <si>
    <t xml:space="preserve">4x4 storm for 6s; enemies inside lose Accuracy.</t>
  </si>
  <si>
    <t xml:space="preserve">Pick a tile within 5; 4x4 area.</t>
  </si>
  <si>
    <t xml:space="preserve">+25 Earth Mastery when learned, +2.0 per use vs. enemies near your level, up to 150</t>
  </si>
  <si>
    <t xml:space="preserve">E17</t>
  </si>
  <si>
    <t xml:space="preserve">Lavabending</t>
  </si>
  <si>
    <t xml:space="preserve">Terrain / Damage</t>
  </si>
  <si>
    <t xml:space="preserve">Trench; Fire Mastery 350</t>
  </si>
  <si>
    <t xml:space="preserve">Molten Core Codex</t>
  </si>
  <si>
    <t xml:space="preserve">Earth Mastery, Magic Atk</t>
  </si>
  <si>
    <t xml:space="preserve">Turn a 3x3 area into lava for 8s; it burns and blocks movement.</t>
  </si>
  <si>
    <t xml:space="preserve">Pick a tile within 4. The 3x3 area glows for 0.5s before turning to lava.</t>
  </si>
  <si>
    <t xml:space="preserve">E18</t>
  </si>
  <si>
    <t xml:space="preserve">Mountain's Stand</t>
  </si>
  <si>
    <t xml:space="preserve">Party protection</t>
  </si>
  <si>
    <t xml:space="preserve">Mountain Codex</t>
  </si>
  <si>
    <t xml:space="preserve">8s: absorb 50% of the damage dealt to allies within 2 tiles.</t>
  </si>
  <si>
    <t xml:space="preserve">Aura covering allies within 2 tiles of you.</t>
  </si>
  <si>
    <t xml:space="preserve">E19</t>
  </si>
  <si>
    <t xml:space="preserve">Living Fortress</t>
  </si>
  <si>
    <t xml:space="preserve">Mountain's Stand; Earth Wall</t>
  </si>
  <si>
    <t xml:space="preserve">Citadel Codex</t>
  </si>
  <si>
    <t xml:space="preserve">Ring the party in stone walls for 10s; allies inside take 30% less damage.</t>
  </si>
  <si>
    <t xml:space="preserve">Walls form in a ring around you; allies inside at cast time are protected.</t>
  </si>
  <si>
    <t xml:space="preserve">+50 Earth Mastery when learned, +10.0 per use vs. enemies near your level, up to 200</t>
  </si>
  <si>
    <t xml:space="preserve">E20</t>
  </si>
  <si>
    <t xml:space="preserve">Tectonic Shift</t>
  </si>
  <si>
    <t xml:space="preserve">Terrain / AoE</t>
  </si>
  <si>
    <t xml:space="preserve">Earthquake; Trench</t>
  </si>
  <si>
    <t xml:space="preserve">Tectonic Codex</t>
  </si>
  <si>
    <t xml:space="preserve">Reshape a 7x7 area, raising and lowering tiles and knocking enemies off their footing.</t>
  </si>
  <si>
    <t xml:space="preserve">Centered on a tile within 3. 1s rumble telegraph.</t>
  </si>
  <si>
    <t xml:space="preserve">W01</t>
  </si>
  <si>
    <t xml:space="preserve">Water</t>
  </si>
  <si>
    <t xml:space="preserve">Healing</t>
  </si>
  <si>
    <t xml:space="preserve">Healing Touch</t>
  </si>
  <si>
    <t xml:space="preserve">Heal</t>
  </si>
  <si>
    <t xml:space="preserve">Mender's Scroll</t>
  </si>
  <si>
    <t xml:space="preserve">Water Mastery, Magic Atk</t>
  </si>
  <si>
    <t xml:space="preserve">Heal yourself or an ally within 2 tiles.</t>
  </si>
  <si>
    <t xml:space="preserve">Yourself or an ally within 2. Can't miss.</t>
  </si>
  <si>
    <t xml:space="preserve">+5 Water Mastery when learned, +0.2 per use vs. enemies near your level, up to 50</t>
  </si>
  <si>
    <t xml:space="preserve">W02</t>
  </si>
  <si>
    <t xml:space="preserve">Currents</t>
  </si>
  <si>
    <t xml:space="preserve">Water Whip</t>
  </si>
  <si>
    <t xml:space="preserve">River Lash Scroll</t>
  </si>
  <si>
    <t xml:space="preserve">Lash an enemy within 3 tiles.</t>
  </si>
  <si>
    <t xml:space="preserve">Enemy within 3. Locks on.</t>
  </si>
  <si>
    <t xml:space="preserve">W03</t>
  </si>
  <si>
    <t xml:space="preserve">Blessings</t>
  </si>
  <si>
    <t xml:space="preserve">Flow State</t>
  </si>
  <si>
    <t xml:space="preserve">Buff</t>
  </si>
  <si>
    <t xml:space="preserve">Scroll of the Current</t>
  </si>
  <si>
    <t xml:space="preserve">You or an ally gain Haste for 30s.</t>
  </si>
  <si>
    <t xml:space="preserve">Yourself or an ally within 3.</t>
  </si>
  <si>
    <t xml:space="preserve">+5 Water Mastery when learned, +0.4 per use vs. enemies near your level, up to 50</t>
  </si>
  <si>
    <t xml:space="preserve">W04</t>
  </si>
  <si>
    <t xml:space="preserve">Ice</t>
  </si>
  <si>
    <t xml:space="preserve">Frost Shard</t>
  </si>
  <si>
    <t xml:space="preserve">Damage / CC</t>
  </si>
  <si>
    <t xml:space="preserve">Frost Shard Scroll</t>
  </si>
  <si>
    <t xml:space="preserve">Range 4; damages and slows the target for 2s.</t>
  </si>
  <si>
    <t xml:space="preserve">Aim at an enemy within 4. Fast shard at any angle; hits the first unit in its path.</t>
  </si>
  <si>
    <t xml:space="preserve">W05</t>
  </si>
  <si>
    <t xml:space="preserve">Soothing Mist</t>
  </si>
  <si>
    <t xml:space="preserve">Heal over time</t>
  </si>
  <si>
    <t xml:space="preserve">Mist Scroll</t>
  </si>
  <si>
    <t xml:space="preserve">Heal you or an ally within 3 tiles over 12s.</t>
  </si>
  <si>
    <t xml:space="preserve">Yourself or an ally within 4.</t>
  </si>
  <si>
    <t xml:space="preserve">+10 Water Mastery when learned, +0.3 per use vs. enemies near your level, up to 70</t>
  </si>
  <si>
    <t xml:space="preserve">W06</t>
  </si>
  <si>
    <t xml:space="preserve">Water Pulse</t>
  </si>
  <si>
    <t xml:space="preserve">Wave Scroll</t>
  </si>
  <si>
    <t xml:space="preserve">A wave down a 3-tile line that damages and pushes enemies back 1 tile.</t>
  </si>
  <si>
    <t xml:space="preserve">Aim one of 8 directions. 3-tile line; pushes enemies along that direction.</t>
  </si>
  <si>
    <t xml:space="preserve">W07</t>
  </si>
  <si>
    <t xml:space="preserve">Leeching Tide</t>
  </si>
  <si>
    <t xml:space="preserve">Damage / Self heal</t>
  </si>
  <si>
    <t xml:space="preserve">Leech Tide Scroll</t>
  </si>
  <si>
    <t xml:space="preserve">Damage an enemy within 3 tiles and heal yourself for 50% of the damage dealt.</t>
  </si>
  <si>
    <t xml:space="preserve">Enemy within 3. The heal applies to you automatically.</t>
  </si>
  <si>
    <t xml:space="preserve">+10 Water Mastery when learned, +0.6 per use vs. enemies near your level, up to 70</t>
  </si>
  <si>
    <t xml:space="preserve">W08</t>
  </si>
  <si>
    <t xml:space="preserve">Tidal Blessing</t>
  </si>
  <si>
    <t xml:space="preserve">Tidal Scroll</t>
  </si>
  <si>
    <t xml:space="preserve">Water Mastery, Magic Def</t>
  </si>
  <si>
    <t xml:space="preserve">You or an ally gain Physical and Magic Defense for 45s.</t>
  </si>
  <si>
    <t xml:space="preserve">W09</t>
  </si>
  <si>
    <t xml:space="preserve">Ice Spikes</t>
  </si>
  <si>
    <t xml:space="preserve">AoE damage / CC</t>
  </si>
  <si>
    <t xml:space="preserve">Glacier Scroll</t>
  </si>
  <si>
    <t xml:space="preserve">Spikes erupt in a 3x3 area: damage and slow for 3s.</t>
  </si>
  <si>
    <t xml:space="preserve">Pick a tile within 4. Spikes erupt in the 3x3 area after 0.4s.</t>
  </si>
  <si>
    <t xml:space="preserve">W10</t>
  </si>
  <si>
    <t xml:space="preserve">Spirit Water</t>
  </si>
  <si>
    <t xml:space="preserve">Big heal</t>
  </si>
  <si>
    <t xml:space="preserve">Spirit Oasis Scroll</t>
  </si>
  <si>
    <t xml:space="preserve">Large heal on you or an ally; also removes one debuff.</t>
  </si>
  <si>
    <t xml:space="preserve">+15 Water Mastery when learned, +0.8 per use vs. enemies near your level, up to 100</t>
  </si>
  <si>
    <t xml:space="preserve">W11</t>
  </si>
  <si>
    <t xml:space="preserve">Water Jet</t>
  </si>
  <si>
    <t xml:space="preserve">Pressure Jet Scroll</t>
  </si>
  <si>
    <t xml:space="preserve">High-pressure jet that pierces every enemy in a 5-tile line.</t>
  </si>
  <si>
    <t xml:space="preserve">Aim at any angle. Instant piercing jet along a 5-tile line.</t>
  </si>
  <si>
    <t xml:space="preserve">W12</t>
  </si>
  <si>
    <t xml:space="preserve">Water Shield</t>
  </si>
  <si>
    <t xml:space="preserve">Bubble Ward Scroll</t>
  </si>
  <si>
    <t xml:space="preserve">Absorb shield on you or an ally for 20s; when it breaks it splashes damage on adjacent enemies.</t>
  </si>
  <si>
    <t xml:space="preserve">W13</t>
  </si>
  <si>
    <t xml:space="preserve">Ice Prison</t>
  </si>
  <si>
    <t xml:space="preserve">CC</t>
  </si>
  <si>
    <t xml:space="preserve">Frozen Tomb Scroll</t>
  </si>
  <si>
    <t xml:space="preserve">Freeze an enemy for 2s; frozen enemies take 25% more damage.</t>
  </si>
  <si>
    <t xml:space="preserve">Enemy within 4. 0.5s cast; fails if the target breaks line of sight.</t>
  </si>
  <si>
    <t xml:space="preserve">W14</t>
  </si>
  <si>
    <t xml:space="preserve">Revive</t>
  </si>
  <si>
    <t xml:space="preserve">Resurrection</t>
  </si>
  <si>
    <t xml:space="preserve">Scroll of Second Life</t>
  </si>
  <si>
    <t xml:space="preserve">Water Mastery</t>
  </si>
  <si>
    <t xml:space="preserve">Resurrect a fallen ally at 30% HP; usable in combat.</t>
  </si>
  <si>
    <t xml:space="preserve">Fallen ally within 3. 2s cast, interrupted by damage.</t>
  </si>
  <si>
    <t xml:space="preserve">+15 Water Mastery when learned, +4.0 per use vs. enemies near your level, up to 100</t>
  </si>
  <si>
    <t xml:space="preserve">W15</t>
  </si>
  <si>
    <t xml:space="preserve">Tidal Wave</t>
  </si>
  <si>
    <t xml:space="preserve">Tsunami Codex</t>
  </si>
  <si>
    <t xml:space="preserve">A 3-tile-wide wave rolls 5 tiles, damaging and pushing enemies.</t>
  </si>
  <si>
    <t xml:space="preserve">Aim one of 8 directions. The wave visibly rolls at walking speed; enemies can step sideways out of it.</t>
  </si>
  <si>
    <t xml:space="preserve">+25 Water Mastery when learned, +2.0 per use vs. enemies near your level, up to 150</t>
  </si>
  <si>
    <t xml:space="preserve">W16</t>
  </si>
  <si>
    <t xml:space="preserve">Rising Tide</t>
  </si>
  <si>
    <t xml:space="preserve">Party buff</t>
  </si>
  <si>
    <t xml:space="preserve">Rising Tide Scroll</t>
  </si>
  <si>
    <t xml:space="preserve">You and allies within 3 tiles gain Crit Rate and Haste for 60s.</t>
  </si>
  <si>
    <t xml:space="preserve">You and allies within 3 tiles at the moment of casting.</t>
  </si>
  <si>
    <t xml:space="preserve">W17</t>
  </si>
  <si>
    <t xml:space="preserve">Healing Rain</t>
  </si>
  <si>
    <t xml:space="preserve">AoE heal</t>
  </si>
  <si>
    <t xml:space="preserve">Monsoon Scroll</t>
  </si>
  <si>
    <t xml:space="preserve">3x3 zone that heals allies inside for 10s.</t>
  </si>
  <si>
    <t xml:space="preserve">Pick a tile within 5; 3x3 zone.</t>
  </si>
  <si>
    <t xml:space="preserve">+25 Water Mastery when learned, +1.0 per use vs. enemies near your level, up to 150</t>
  </si>
  <si>
    <t xml:space="preserve">W18</t>
  </si>
  <si>
    <t xml:space="preserve">Steam Veil</t>
  </si>
  <si>
    <t xml:space="preserve">Party defense / Damage</t>
  </si>
  <si>
    <t xml:space="preserve">Ice Prison; Fire Mastery 350</t>
  </si>
  <si>
    <t xml:space="preserve">Steam Scroll</t>
  </si>
  <si>
    <t xml:space="preserve">4x4 scalding fog for 10s: allies gain Evasion, enemies take damage over time.</t>
  </si>
  <si>
    <t xml:space="preserve">Pick a tile within 5; 4x4 zone.</t>
  </si>
  <si>
    <t xml:space="preserve">W19</t>
  </si>
  <si>
    <t xml:space="preserve">Bloodbending</t>
  </si>
  <si>
    <t xml:space="preserve">CC / Damage</t>
  </si>
  <si>
    <t xml:space="preserve">Crimson Moon Codex</t>
  </si>
  <si>
    <t xml:space="preserve">Control an enemy's movement for 3s and damage it each second.</t>
  </si>
  <si>
    <t xml:space="preserve">Enemy within 4. While it lasts, you stand still and steer its steps with your movement keys.</t>
  </si>
  <si>
    <t xml:space="preserve">W20</t>
  </si>
  <si>
    <t xml:space="preserve">Octopus Form</t>
  </si>
  <si>
    <t xml:space="preserve">Self buff / Damage</t>
  </si>
  <si>
    <t xml:space="preserve">Water Jet; Water Shield</t>
  </si>
  <si>
    <t xml:space="preserve">Eight Arms Scroll</t>
  </si>
  <si>
    <t xml:space="preserve">10s: eight water tentacles block projectiles and lash adjacent enemies automatically.</t>
  </si>
  <si>
    <t xml:space="preserve">Tentacles automatically hit adjacent enemies and block incoming projectiles.</t>
  </si>
  <si>
    <t xml:space="preserve">W21</t>
  </si>
  <si>
    <t xml:space="preserve">Full Moon</t>
  </si>
  <si>
    <t xml:space="preserve">Full Moon Codex</t>
  </si>
  <si>
    <t xml:space="preserve">30s: all water damage, healing and buffs are 30% stronger.</t>
  </si>
  <si>
    <t xml:space="preserve">+50 Water Mastery when learned, +10.0 per use vs. enemies near your level, up to 200</t>
  </si>
  <si>
    <t xml:space="preserve">W22</t>
  </si>
  <si>
    <t xml:space="preserve">Ocean Spirit</t>
  </si>
  <si>
    <t xml:space="preserve">Healing Rain; Leeching Tide</t>
  </si>
  <si>
    <t xml:space="preserve">Ocean Spirit Codex</t>
  </si>
  <si>
    <t xml:space="preserve">20s: 40% of all water damage you deal heals you or the lowest-HP ally within 3 tiles.</t>
  </si>
  <si>
    <t xml:space="preserve">Bonus healing goes to you or the lowest-HP ally within 3 automatically.</t>
  </si>
  <si>
    <t xml:space="preserve">W23</t>
  </si>
  <si>
    <t xml:space="preserve">Tidal Resurgence</t>
  </si>
  <si>
    <t xml:space="preserve">Mass resurrection</t>
  </si>
  <si>
    <t xml:space="preserve">Revive; Healing Rain</t>
  </si>
  <si>
    <t xml:space="preserve">Codex of Returning Tides</t>
  </si>
  <si>
    <t xml:space="preserve">Resurrect all fallen allies within 3 tiles at 20% HP.</t>
  </si>
  <si>
    <t xml:space="preserve">All fallen allies within 3 tiles. 3s cast.</t>
  </si>
  <si>
    <t xml:space="preserve">A01</t>
  </si>
  <si>
    <t xml:space="preserve">Air</t>
  </si>
  <si>
    <t xml:space="preserve">Winds</t>
  </si>
  <si>
    <t xml:space="preserve">Air Palm</t>
  </si>
  <si>
    <t xml:space="preserve">Open Palm Scroll</t>
  </si>
  <si>
    <t xml:space="preserve">Air Mastery, Magic Atk</t>
  </si>
  <si>
    <t xml:space="preserve">Light damage and knock an adjacent enemy back 1 tile.</t>
  </si>
  <si>
    <t xml:space="preserve">Adjacent enemy. Pushes it directly away from you (snapped to 8 directions).</t>
  </si>
  <si>
    <t xml:space="preserve">+5 Air Mastery when learned, +0.2 per use vs. enemies near your level, up to 50</t>
  </si>
  <si>
    <t xml:space="preserve">A02</t>
  </si>
  <si>
    <t xml:space="preserve">Breath</t>
  </si>
  <si>
    <t xml:space="preserve">Gust</t>
  </si>
  <si>
    <t xml:space="preserve">Interrupt / Damage</t>
  </si>
  <si>
    <t xml:space="preserve">Breeze Scroll</t>
  </si>
  <si>
    <t xml:space="preserve">Range 3; light damage and interrupts an enemy's cast.</t>
  </si>
  <si>
    <t xml:space="preserve">Enemy within 3. Instant and can't miss, so interrupts are reliable.</t>
  </si>
  <si>
    <t xml:space="preserve">+5 Air Mastery when learned, +0.4 per use vs. enemies near your level, up to 50</t>
  </si>
  <si>
    <t xml:space="preserve">A03</t>
  </si>
  <si>
    <t xml:space="preserve">Flight</t>
  </si>
  <si>
    <t xml:space="preserve">Air Step</t>
  </si>
  <si>
    <t xml:space="preserve">Featherstep Scroll</t>
  </si>
  <si>
    <t xml:space="preserve">Air Mastery</t>
  </si>
  <si>
    <t xml:space="preserve">Your next 5 steps have no cooldown.</t>
  </si>
  <si>
    <t xml:space="preserve">A04</t>
  </si>
  <si>
    <t xml:space="preserve">Wind Snare</t>
  </si>
  <si>
    <t xml:space="preserve">Snaring Wind Scroll</t>
  </si>
  <si>
    <t xml:space="preserve">Light damage and double an enemy's step cooldown for 4s.</t>
  </si>
  <si>
    <t xml:space="preserve">Aim at an enemy within 4. Fast gust at any angle; hits the first unit in its path.</t>
  </si>
  <si>
    <t xml:space="preserve">A05</t>
  </si>
  <si>
    <t xml:space="preserve">Air Blast</t>
  </si>
  <si>
    <t xml:space="preserve">Gale Scroll</t>
  </si>
  <si>
    <t xml:space="preserve">Knock an enemy back 3 tiles; bonus damage if it hits a wall or ledge.</t>
  </si>
  <si>
    <t xml:space="preserve">Enemy within 3. Knockback follows the line from you to it, snapped to 8 directions.</t>
  </si>
  <si>
    <t xml:space="preserve">+10 Air Mastery when learned, +0.6 per use vs. enemies near your level, up to 70</t>
  </si>
  <si>
    <t xml:space="preserve">A06</t>
  </si>
  <si>
    <t xml:space="preserve">Vortex</t>
  </si>
  <si>
    <t xml:space="preserve">Vortex Scroll</t>
  </si>
  <si>
    <t xml:space="preserve">Pull all enemies within 2 tiles of a point toward the center, dealing light damage.</t>
  </si>
  <si>
    <t xml:space="preserve">Pick a tile within 5; enemies within 2 of it are pulled toward it.</t>
  </si>
  <si>
    <t xml:space="preserve">A07</t>
  </si>
  <si>
    <t xml:space="preserve">Stolen Breath</t>
  </si>
  <si>
    <t xml:space="preserve">Hushing Scroll</t>
  </si>
  <si>
    <t xml:space="preserve">Light damage and silence an enemy for 2s.</t>
  </si>
  <si>
    <t xml:space="preserve">Enemy within 3.</t>
  </si>
  <si>
    <t xml:space="preserve">A08</t>
  </si>
  <si>
    <t xml:space="preserve">Glide</t>
  </si>
  <si>
    <t xml:space="preserve">Glider Scroll</t>
  </si>
  <si>
    <t xml:space="preserve">For 10s, cross gaps, drop from any height freely and climb 1 extra height level per step.</t>
  </si>
  <si>
    <t xml:space="preserve">A09</t>
  </si>
  <si>
    <t xml:space="preserve">Air Scooter</t>
  </si>
  <si>
    <t xml:space="preserve">Mobility / Damage</t>
  </si>
  <si>
    <t xml:space="preserve">Rolling Wind Scroll</t>
  </si>
  <si>
    <t xml:space="preserve">Step cooldown halved for 12s; moving into an enemy deals light damage and shoves it aside.</t>
  </si>
  <si>
    <t xml:space="preserve">No target; damage applies to any enemy you step into.</t>
  </si>
  <si>
    <t xml:space="preserve">A10</t>
  </si>
  <si>
    <t xml:space="preserve">Tornado</t>
  </si>
  <si>
    <t xml:space="preserve">Twister Scroll</t>
  </si>
  <si>
    <t xml:space="preserve">A tornado travels 5 tiles, dragging and damaging enemies.</t>
  </si>
  <si>
    <t xml:space="preserve">Aim one of 8 directions. The tornado travels slowly; enemies can step out of its path.</t>
  </si>
  <si>
    <t xml:space="preserve">+15 Air Mastery when learned, +0.8 per use vs. enemies near your level, up to 100</t>
  </si>
  <si>
    <t xml:space="preserve">A11</t>
  </si>
  <si>
    <t xml:space="preserve">Air Sphere</t>
  </si>
  <si>
    <t xml:space="preserve">Party defense</t>
  </si>
  <si>
    <t xml:space="preserve">Sphere Scroll</t>
  </si>
  <si>
    <t xml:space="preserve">Reflect projectiles aimed at an ally for 4s; reflected shots deal bonus damage.</t>
  </si>
  <si>
    <t xml:space="preserve">A12</t>
  </si>
  <si>
    <t xml:space="preserve">Suffocate</t>
  </si>
  <si>
    <t xml:space="preserve">Vacuum Scroll</t>
  </si>
  <si>
    <t xml:space="preserve">Channel: stun an enemy for up to 3s, dealing damage each second.</t>
  </si>
  <si>
    <t xml:space="preserve">Enemy within 3. Channel breaks if line of sight breaks.</t>
  </si>
  <si>
    <t xml:space="preserve">+15 Air Mastery when learned, +1.6 per use vs. enemies near your level, up to 100</t>
  </si>
  <si>
    <t xml:space="preserve">A13</t>
  </si>
  <si>
    <t xml:space="preserve">Cyclone Spin</t>
  </si>
  <si>
    <t xml:space="preserve">Air Blast; Vortex</t>
  </si>
  <si>
    <t xml:space="preserve">Cyclone Scroll</t>
  </si>
  <si>
    <t xml:space="preserve">Damage and knock all adjacent enemies back 2 tiles.</t>
  </si>
  <si>
    <t xml:space="preserve">All 8 tiles around you.</t>
  </si>
  <si>
    <t xml:space="preserve">A14</t>
  </si>
  <si>
    <t xml:space="preserve">Wind Walk</t>
  </si>
  <si>
    <t xml:space="preserve">Wind Walker Scroll</t>
  </si>
  <si>
    <t xml:space="preserve">Blink to any tile within 7, ignoring height, with a burst of wind that lightly damages adjacent enemies. 2 charges.</t>
  </si>
  <si>
    <t xml:space="preserve">Pick any tile within 7. Instant.</t>
  </si>
  <si>
    <t xml:space="preserve">A15</t>
  </si>
  <si>
    <t xml:space="preserve">Hurricane</t>
  </si>
  <si>
    <t xml:space="preserve">AoE CC / Damage</t>
  </si>
  <si>
    <t xml:space="preserve">Hurricane Codex</t>
  </si>
  <si>
    <t xml:space="preserve">5x5 storm for 6s: enemies are damaged, slowed and randomly shoved.</t>
  </si>
  <si>
    <t xml:space="preserve">Pick a tile within 6. 0.5s telegraph.</t>
  </si>
  <si>
    <t xml:space="preserve">+25 Air Mastery when learned, +2.0 per use vs. enemies near your level, up to 150</t>
  </si>
  <si>
    <t xml:space="preserve">A16</t>
  </si>
  <si>
    <t xml:space="preserve">Updraft</t>
  </si>
  <si>
    <t xml:space="preserve">Updraft Scroll</t>
  </si>
  <si>
    <t xml:space="preserve">Launch an enemy into the air for 2s (stunned, untargetable), then slam it down for damage.</t>
  </si>
  <si>
    <t xml:space="preserve">Enemy within 4. 0.3s wind-up.</t>
  </si>
  <si>
    <t xml:space="preserve">A17</t>
  </si>
  <si>
    <t xml:space="preserve">Storm Front</t>
  </si>
  <si>
    <t xml:space="preserve">AoE CC / Buff</t>
  </si>
  <si>
    <t xml:space="preserve">Tornado; Water Mastery 350</t>
  </si>
  <si>
    <t xml:space="preserve">Storm Front Scroll</t>
  </si>
  <si>
    <t xml:space="preserve">4x4 zone for 8s: enemies are damaged and slowed, allies gain Haste.</t>
  </si>
  <si>
    <t xml:space="preserve">A18</t>
  </si>
  <si>
    <t xml:space="preserve">Pressure Lock</t>
  </si>
  <si>
    <t xml:space="preserve">Pressure Scroll</t>
  </si>
  <si>
    <t xml:space="preserve">Root and lightly damage all enemies within 2 tiles for 2s.</t>
  </si>
  <si>
    <t xml:space="preserve">A19</t>
  </si>
  <si>
    <t xml:space="preserve">Sky Dancer</t>
  </si>
  <si>
    <t xml:space="preserve">Sky Dancer Codex</t>
  </si>
  <si>
    <t xml:space="preserve">10s: fly over any terrain and height, and steps have no cooldown.</t>
  </si>
  <si>
    <t xml:space="preserve">A20</t>
  </si>
  <si>
    <t xml:space="preserve">Weightless</t>
  </si>
  <si>
    <t xml:space="preserve">Party mobility</t>
  </si>
  <si>
    <t xml:space="preserve">Codex of Weightlessness</t>
  </si>
  <si>
    <t xml:space="preserve">15s: the whole party glides, ignores height and has step cooldowns halved.</t>
  </si>
  <si>
    <t xml:space="preserve">You and allies within 4 tiles at the moment of casting.</t>
  </si>
  <si>
    <t xml:space="preserve">+50 Air Mastery when learned, +10.0 per use vs. enemies near your level, up to 200</t>
  </si>
  <si>
    <t xml:space="preserve">A21</t>
  </si>
  <si>
    <t xml:space="preserve">Eye of the Storm</t>
  </si>
  <si>
    <t xml:space="preserve">Hurricane; Pressure Lock</t>
  </si>
  <si>
    <t xml:space="preserve">Eye of the Storm Codex</t>
  </si>
  <si>
    <t xml:space="preserve">7x7 cyclone: enemies are pulled to the center, damaged and stunned for 2s.</t>
  </si>
  <si>
    <t xml:space="preserve">Pick a tile within 6. 1s swirling telegraph before the pull.</t>
  </si>
  <si>
    <t xml:space="preserve">S01</t>
  </si>
  <si>
    <t xml:space="preserve">Sword</t>
  </si>
  <si>
    <t xml:space="preserve">Blade</t>
  </si>
  <si>
    <t xml:space="preserve">Slash</t>
  </si>
  <si>
    <t xml:space="preserve">Rusty Shortsword</t>
  </si>
  <si>
    <t xml:space="preserve">Sword Mastery, Phys Atk</t>
  </si>
  <si>
    <t xml:space="preserve">Basic strike on an adjacent enemy.</t>
  </si>
  <si>
    <t xml:space="preserve">Adjacent enemy.</t>
  </si>
  <si>
    <t xml:space="preserve">+5 Sword Mastery when learned, +0.2 per use vs. enemies near your level, up to 50</t>
  </si>
  <si>
    <t xml:space="preserve">S02</t>
  </si>
  <si>
    <t xml:space="preserve">Thrust</t>
  </si>
  <si>
    <t xml:space="preserve">Militia Rapier</t>
  </si>
  <si>
    <t xml:space="preserve">Strike an enemy up to 2 tiles away in a straight line.</t>
  </si>
  <si>
    <t xml:space="preserve">Pick one of 8 directions; hits whoever is on the 2 tiles in that line.</t>
  </si>
  <si>
    <t xml:space="preserve">S03</t>
  </si>
  <si>
    <t xml:space="preserve">Guard</t>
  </si>
  <si>
    <t xml:space="preserve">Parry</t>
  </si>
  <si>
    <t xml:space="preserve">Defense</t>
  </si>
  <si>
    <t xml:space="preserve">Duelist's Sabre</t>
  </si>
  <si>
    <t xml:space="preserve">Sword Mastery, Phys Def</t>
  </si>
  <si>
    <t xml:space="preserve">Block the next melee hit within 1s.</t>
  </si>
  <si>
    <t xml:space="preserve">1s block window.</t>
  </si>
  <si>
    <t xml:space="preserve">S04</t>
  </si>
  <si>
    <t xml:space="preserve">Footwork</t>
  </si>
  <si>
    <t xml:space="preserve">Lunge</t>
  </si>
  <si>
    <t xml:space="preserve">Traveler's Longsword</t>
  </si>
  <si>
    <t xml:space="preserve">Step up to 2 tiles and strike.</t>
  </si>
  <si>
    <t xml:space="preserve">Enemy within 3 with an open path. You step to a tile next to it and strike.</t>
  </si>
  <si>
    <t xml:space="preserve">S05</t>
  </si>
  <si>
    <t xml:space="preserve">Double Slash</t>
  </si>
  <si>
    <t xml:space="preserve">Twinfang Blade</t>
  </si>
  <si>
    <t xml:space="preserve">Two quick strikes.</t>
  </si>
  <si>
    <t xml:space="preserve">+10 Sword Mastery when learned, +0.3 per use vs. enemies near your level, up to 70</t>
  </si>
  <si>
    <t xml:space="preserve">S06</t>
  </si>
  <si>
    <t xml:space="preserve">Riposte</t>
  </si>
  <si>
    <t xml:space="preserve">Riposte Foil</t>
  </si>
  <si>
    <t xml:space="preserve">Parry; on success, counterattack for heavy damage.</t>
  </si>
  <si>
    <t xml:space="preserve">Counter fires automatically at whoever hit you.</t>
  </si>
  <si>
    <t xml:space="preserve">+10 Sword Mastery when learned, +0.6 per use vs. enemies near your level, up to 70</t>
  </si>
  <si>
    <t xml:space="preserve">S07</t>
  </si>
  <si>
    <t xml:space="preserve">Bleeding Cut</t>
  </si>
  <si>
    <t xml:space="preserve">Damage over time</t>
  </si>
  <si>
    <t xml:space="preserve">Serrated Cutlass</t>
  </si>
  <si>
    <t xml:space="preserve">A wound that bleeds for 8s.</t>
  </si>
  <si>
    <t xml:space="preserve">S08</t>
  </si>
  <si>
    <t xml:space="preserve">Piercing Thrust</t>
  </si>
  <si>
    <t xml:space="preserve">Needle Estoc</t>
  </si>
  <si>
    <t xml:space="preserve">Hit both enemies in a 2-tile line, ignoring some defense.</t>
  </si>
  <si>
    <t xml:space="preserve">Pick one of 8 directions; hits both tiles in the line.</t>
  </si>
  <si>
    <t xml:space="preserve">S09</t>
  </si>
  <si>
    <t xml:space="preserve">Feint</t>
  </si>
  <si>
    <t xml:space="preserve">Trickster's Blade</t>
  </si>
  <si>
    <t xml:space="preserve">Sword Mastery</t>
  </si>
  <si>
    <t xml:space="preserve">Lower an enemy's Evasion for 6s.</t>
  </si>
  <si>
    <t xml:space="preserve">S10</t>
  </si>
  <si>
    <t xml:space="preserve">Flurry</t>
  </si>
  <si>
    <t xml:space="preserve">Whirling Scimitar</t>
  </si>
  <si>
    <t xml:space="preserve">Five rapid strikes.</t>
  </si>
  <si>
    <t xml:space="preserve">Adjacent enemy. If it steps away mid-combo, remaining hits miss.</t>
  </si>
  <si>
    <t xml:space="preserve">+15 Sword Mastery when learned, +0.8 per use vs. enemies near your level, up to 100</t>
  </si>
  <si>
    <t xml:space="preserve">S11</t>
  </si>
  <si>
    <t xml:space="preserve">Disarm</t>
  </si>
  <si>
    <t xml:space="preserve">Guardian's Broadsword</t>
  </si>
  <si>
    <t xml:space="preserve">Lower an enemy's Physical Attack for 8s.</t>
  </si>
  <si>
    <t xml:space="preserve">S12</t>
  </si>
  <si>
    <t xml:space="preserve">Execute</t>
  </si>
  <si>
    <t xml:space="preserve">Headsman's Sword</t>
  </si>
  <si>
    <t xml:space="preserve">Heavy blow; triple damage on enemies below 25% HP.</t>
  </si>
  <si>
    <t xml:space="preserve">Adjacent enemy. Visible 0.4s wind-up; can be stepped away from.</t>
  </si>
  <si>
    <t xml:space="preserve">S13</t>
  </si>
  <si>
    <t xml:space="preserve">Blade Dance</t>
  </si>
  <si>
    <t xml:space="preserve">Dancer's Katana</t>
  </si>
  <si>
    <t xml:space="preserve">Dash 3 tiles, striking every enemy you pass.</t>
  </si>
  <si>
    <t xml:space="preserve">Pick a tile up to 3 away in one of 8 directions; hits every enemy you pass.</t>
  </si>
  <si>
    <t xml:space="preserve">S14</t>
  </si>
  <si>
    <t xml:space="preserve">Focus Stance</t>
  </si>
  <si>
    <t xml:space="preserve">Focus Blade</t>
  </si>
  <si>
    <t xml:space="preserve">Sword Mastery, Crit Rate</t>
  </si>
  <si>
    <t xml:space="preserve">Gain Crit Rate for 10s.</t>
  </si>
  <si>
    <t xml:space="preserve">S15</t>
  </si>
  <si>
    <t xml:space="preserve">Thousand Cuts</t>
  </si>
  <si>
    <t xml:space="preserve">Thousand-Edge Katana</t>
  </si>
  <si>
    <t xml:space="preserve">Channel 2s of nonstop strikes.</t>
  </si>
  <si>
    <t xml:space="preserve">Adjacent enemy. Channel ends if it steps away.</t>
  </si>
  <si>
    <t xml:space="preserve">+25 Sword Mastery when learned, +1.0 per use vs. enemies near your level, up to 150</t>
  </si>
  <si>
    <t xml:space="preserve">S16</t>
  </si>
  <si>
    <t xml:space="preserve">Counter Stance</t>
  </si>
  <si>
    <t xml:space="preserve">Mirror Blade</t>
  </si>
  <si>
    <t xml:space="preserve">4s: automatically counter every melee attack.</t>
  </si>
  <si>
    <t xml:space="preserve">Counters every melee attacker automatically.</t>
  </si>
  <si>
    <t xml:space="preserve">+25 Sword Mastery when learned, +2.0 per use vs. enemies near your level, up to 150</t>
  </si>
  <si>
    <t xml:space="preserve">S17</t>
  </si>
  <si>
    <t xml:space="preserve">Shadow Step</t>
  </si>
  <si>
    <t xml:space="preserve">Shadowfang</t>
  </si>
  <si>
    <t xml:space="preserve">Teleport behind an enemy within 4 tiles; your next hit is a guaranteed crit.</t>
  </si>
  <si>
    <t xml:space="preserve">Enemy within 4. You land on the tile behind it (or the nearest free tile).</t>
  </si>
  <si>
    <t xml:space="preserve">S18</t>
  </si>
  <si>
    <t xml:space="preserve">Elemental Edge</t>
  </si>
  <si>
    <t xml:space="preserve">Flurry; any element Mastery 350</t>
  </si>
  <si>
    <t xml:space="preserve">Runeblade</t>
  </si>
  <si>
    <t xml:space="preserve">10s: sword hits add damage from your highest element.</t>
  </si>
  <si>
    <t xml:space="preserve">S19</t>
  </si>
  <si>
    <t xml:space="preserve">Perfect Strike</t>
  </si>
  <si>
    <t xml:space="preserve">Execute; Focus Stance</t>
  </si>
  <si>
    <t xml:space="preserve">Masterwork Odachi</t>
  </si>
  <si>
    <t xml:space="preserve">Guaranteed critical hit with massive damage.</t>
  </si>
  <si>
    <t xml:space="preserve">Adjacent enemy. 0.6s wind-up; can be stepped away from.</t>
  </si>
  <si>
    <t xml:space="preserve">+50 Sword Mastery when learned, +4.0 per use vs. enemies near your level, up to 200</t>
  </si>
  <si>
    <t xml:space="preserve">S20</t>
  </si>
  <si>
    <t xml:space="preserve">Sword Saint</t>
  </si>
  <si>
    <t xml:space="preserve">Thousand Cuts; Shadow Step</t>
  </si>
  <si>
    <t xml:space="preserve">Saintblade</t>
  </si>
  <si>
    <t xml:space="preserve">12s: sword cooldowns recover twice as fast.</t>
  </si>
  <si>
    <t xml:space="preserve">+50 Sword Mastery when learned, +10.0 per use vs. enemies near your level, up to 200</t>
  </si>
  <si>
    <t xml:space="preserve">B01</t>
  </si>
  <si>
    <t xml:space="preserve">Bow</t>
  </si>
  <si>
    <t xml:space="preserve">Marksman</t>
  </si>
  <si>
    <t xml:space="preserve">Quick Shot</t>
  </si>
  <si>
    <t xml:space="preserve">Hunter's Shortbow</t>
  </si>
  <si>
    <t xml:space="preserve">Bow Mastery, Phys Atk</t>
  </si>
  <si>
    <t xml:space="preserve">Fast shot, range 5.</t>
  </si>
  <si>
    <t xml:space="preserve">Enemy within 5. Fast arrow that can't miss; blocked by walls.</t>
  </si>
  <si>
    <t xml:space="preserve">+5 Bow Mastery when learned, +0.2 per use vs. enemies near your level, up to 50</t>
  </si>
  <si>
    <t xml:space="preserve">B02</t>
  </si>
  <si>
    <t xml:space="preserve">Aimed Shot</t>
  </si>
  <si>
    <t xml:space="preserve">Yew Longbow</t>
  </si>
  <si>
    <t xml:space="preserve">1s draw, range 7, heavy damage.</t>
  </si>
  <si>
    <t xml:space="preserve">Aim at an enemy within 7. Direction locks on release after the 1s draw; any angle; hits the first unit in its path.</t>
  </si>
  <si>
    <t xml:space="preserve">B03</t>
  </si>
  <si>
    <t xml:space="preserve">Survival</t>
  </si>
  <si>
    <t xml:space="preserve">Disengage</t>
  </si>
  <si>
    <t xml:space="preserve">Ranger's Bow</t>
  </si>
  <si>
    <t xml:space="preserve">Bow Mastery</t>
  </si>
  <si>
    <t xml:space="preserve">Leap back 2 tiles.</t>
  </si>
  <si>
    <t xml:space="preserve">Leap 2 tiles directly away from the way you're facing.</t>
  </si>
  <si>
    <t xml:space="preserve">+5 Bow Mastery when learned, +0.4 per use vs. enemies near your level, up to 50</t>
  </si>
  <si>
    <t xml:space="preserve">B04</t>
  </si>
  <si>
    <t xml:space="preserve">Hunter's Mark</t>
  </si>
  <si>
    <t xml:space="preserve">Tracker's Bow</t>
  </si>
  <si>
    <t xml:space="preserve">The marked enemy takes extra damage from every source for 15s.</t>
  </si>
  <si>
    <t xml:space="preserve">Enemy within 6.</t>
  </si>
  <si>
    <t xml:space="preserve">B05</t>
  </si>
  <si>
    <t xml:space="preserve">Volley</t>
  </si>
  <si>
    <t xml:space="preserve">Multi-Shot</t>
  </si>
  <si>
    <t xml:space="preserve">Triple-String Bow</t>
  </si>
  <si>
    <t xml:space="preserve">Hit up to 3 enemies.</t>
  </si>
  <si>
    <t xml:space="preserve">Your target plus up to 2 more enemies within 5, nearest first.</t>
  </si>
  <si>
    <t xml:space="preserve">+10 Bow Mastery when learned, +0.3 per use vs. enemies near your level, up to 70</t>
  </si>
  <si>
    <t xml:space="preserve">B06</t>
  </si>
  <si>
    <t xml:space="preserve">Piercing Arrow</t>
  </si>
  <si>
    <t xml:space="preserve">Piercer Longbow</t>
  </si>
  <si>
    <t xml:space="preserve">Passes through every enemy in a 6-tile line.</t>
  </si>
  <si>
    <t xml:space="preserve">Aim at any angle; pierces every enemy on the 6-tile line.</t>
  </si>
  <si>
    <t xml:space="preserve">+10 Bow Mastery when learned, +0.6 per use vs. enemies near your level, up to 70</t>
  </si>
  <si>
    <t xml:space="preserve">B07</t>
  </si>
  <si>
    <t xml:space="preserve">Poison Arrow</t>
  </si>
  <si>
    <t xml:space="preserve">Viper Bow</t>
  </si>
  <si>
    <t xml:space="preserve">Poison an enemy for 10s.</t>
  </si>
  <si>
    <t xml:space="preserve">Enemy within 5.</t>
  </si>
  <si>
    <t xml:space="preserve">B08</t>
  </si>
  <si>
    <t xml:space="preserve">Pinning Shot</t>
  </si>
  <si>
    <t xml:space="preserve">Pinning Recurve</t>
  </si>
  <si>
    <t xml:space="preserve">Root an enemy for 2s.</t>
  </si>
  <si>
    <t xml:space="preserve">Aim at an enemy within 5. Any angle; the first unit hit is rooted.</t>
  </si>
  <si>
    <t xml:space="preserve">B09</t>
  </si>
  <si>
    <t xml:space="preserve">High Ground</t>
  </si>
  <si>
    <t xml:space="preserve">Eagle's Perch Bow</t>
  </si>
  <si>
    <t xml:space="preserve">10s: extra damage and range for each height level above your target.</t>
  </si>
  <si>
    <t xml:space="preserve">B10</t>
  </si>
  <si>
    <t xml:space="preserve">Volley Bow</t>
  </si>
  <si>
    <t xml:space="preserve">Arrows rain on a 3x3 area.</t>
  </si>
  <si>
    <t xml:space="preserve">Pick a tile within 7. 0.5s telegraph.</t>
  </si>
  <si>
    <t xml:space="preserve">+15 Bow Mastery when learned, +0.8 per use vs. enemies near your level, up to 100</t>
  </si>
  <si>
    <t xml:space="preserve">B11</t>
  </si>
  <si>
    <t xml:space="preserve">Snipe</t>
  </si>
  <si>
    <t xml:space="preserve">Piercing Arrow; High Ground</t>
  </si>
  <si>
    <t xml:space="preserve">Sniper's Greatbow</t>
  </si>
  <si>
    <t xml:space="preserve">2s draw, range 10.</t>
  </si>
  <si>
    <t xml:space="preserve">Enemy within 10. 2s draw; cancels if the target breaks line of sight.</t>
  </si>
  <si>
    <t xml:space="preserve">B12</t>
  </si>
  <si>
    <t xml:space="preserve">Explosive Trap</t>
  </si>
  <si>
    <t xml:space="preserve">Trap</t>
  </si>
  <si>
    <t xml:space="preserve">Trapper's Bow</t>
  </si>
  <si>
    <t xml:space="preserve">Place a hidden trap that explodes when an enemy steps on it.</t>
  </si>
  <si>
    <t xml:space="preserve">Pick an empty tile within 3. Invisible to enemies.</t>
  </si>
  <si>
    <t xml:space="preserve">B13</t>
  </si>
  <si>
    <t xml:space="preserve">Rapid Fire</t>
  </si>
  <si>
    <t xml:space="preserve">Repeater Bow</t>
  </si>
  <si>
    <t xml:space="preserve">Channel 2s of rapid shots.</t>
  </si>
  <si>
    <t xml:space="preserve">Every arrow goes to your current target; channel ends if line of sight is lost.</t>
  </si>
  <si>
    <t xml:space="preserve">B14</t>
  </si>
  <si>
    <t xml:space="preserve">Camouflage</t>
  </si>
  <si>
    <t xml:space="preserve">Stealth</t>
  </si>
  <si>
    <t xml:space="preserve">Shadow Bow</t>
  </si>
  <si>
    <t xml:space="preserve">Hidden until you attack or 8s pass.</t>
  </si>
  <si>
    <t xml:space="preserve">+15 Bow Mastery when learned, +1.6 per use vs. enemies near your level, up to 100</t>
  </si>
  <si>
    <t xml:space="preserve">B15</t>
  </si>
  <si>
    <t xml:space="preserve">Rain of Arrows</t>
  </si>
  <si>
    <t xml:space="preserve">Rainmaker</t>
  </si>
  <si>
    <t xml:space="preserve">5x5 barrage for 4s.</t>
  </si>
  <si>
    <t xml:space="preserve">Pick a tile within 8. 0.75s telegraph.</t>
  </si>
  <si>
    <t xml:space="preserve">+25 Bow Mastery when learned, +2.0 per use vs. enemies near your level, up to 150</t>
  </si>
  <si>
    <t xml:space="preserve">B16</t>
  </si>
  <si>
    <t xml:space="preserve">Wind Arrow</t>
  </si>
  <si>
    <t xml:space="preserve">Snipe; Air Mastery 350</t>
  </si>
  <si>
    <t xml:space="preserve">Windstring Bow</t>
  </si>
  <si>
    <t xml:space="preserve">Range 12; knocks the target back 3 tiles.</t>
  </si>
  <si>
    <t xml:space="preserve">Aim at any angle, range 12. Very fast; knockback follows the arrow's path.</t>
  </si>
  <si>
    <t xml:space="preserve">+25 Bow Mastery when learned, +1.0 per use vs. enemies near your level, up to 150</t>
  </si>
  <si>
    <t xml:space="preserve">B17</t>
  </si>
  <si>
    <t xml:space="preserve">Kill Shot</t>
  </si>
  <si>
    <t xml:space="preserve">Executioner's Bow</t>
  </si>
  <si>
    <t xml:space="preserve">Only usable on enemies below 20% HP; huge damage.</t>
  </si>
  <si>
    <t xml:space="preserve">Enemy within 8 below 20% HP. Can't miss.</t>
  </si>
  <si>
    <t xml:space="preserve">B18</t>
  </si>
  <si>
    <t xml:space="preserve">Ricochet</t>
  </si>
  <si>
    <t xml:space="preserve">Ricochet Bow</t>
  </si>
  <si>
    <t xml:space="preserve">An arrow that bounces between up to 4 enemies.</t>
  </si>
  <si>
    <t xml:space="preserve">Hits your target, then bounces to the nearest enemy within 3 each time.</t>
  </si>
  <si>
    <t xml:space="preserve">B19</t>
  </si>
  <si>
    <t xml:space="preserve">Deadeye</t>
  </si>
  <si>
    <t xml:space="preserve">Kill Shot; High Ground</t>
  </si>
  <si>
    <t xml:space="preserve">Deadeye Greatbow</t>
  </si>
  <si>
    <t xml:space="preserve">Bow Mastery, Crit Rate</t>
  </si>
  <si>
    <t xml:space="preserve">10s: every shot is a critical hit.</t>
  </si>
  <si>
    <t xml:space="preserve">+50 Bow Mastery when learned, +10.0 per use vs. enemies near your level, up to 200</t>
  </si>
  <si>
    <t xml:space="preserve">B20</t>
  </si>
  <si>
    <t xml:space="preserve">Arrowstorm</t>
  </si>
  <si>
    <t xml:space="preserve">Rain of Arrows; Ricochet</t>
  </si>
  <si>
    <t xml:space="preserve">Stormcaller Bow</t>
  </si>
  <si>
    <t xml:space="preserve">7x7 barrage for 5s.</t>
  </si>
  <si>
    <t xml:space="preserve">Pick a tile within 8. 1s telegraph.</t>
  </si>
  <si>
    <t xml:space="preserve">H01</t>
  </si>
  <si>
    <t xml:space="preserve">Hammer</t>
  </si>
  <si>
    <t xml:space="preserve">Smash</t>
  </si>
  <si>
    <t xml:space="preserve">Iron Mallet</t>
  </si>
  <si>
    <t xml:space="preserve">Hammer Mastery, Phys Atk</t>
  </si>
  <si>
    <t xml:space="preserve">Heavy strike on an adjacent enemy.</t>
  </si>
  <si>
    <t xml:space="preserve">Adjacent enemy. 0.3s wind-up; can be stepped away from.</t>
  </si>
  <si>
    <t xml:space="preserve">+5 Hammer Mastery when learned, +0.2 per use vs. enemies near your level, up to 50</t>
  </si>
  <si>
    <t xml:space="preserve">H02</t>
  </si>
  <si>
    <t xml:space="preserve">Quake</t>
  </si>
  <si>
    <t xml:space="preserve">Ground Slam</t>
  </si>
  <si>
    <t xml:space="preserve">Quarry Maul</t>
  </si>
  <si>
    <t xml:space="preserve">Hit all adjacent enemies.</t>
  </si>
  <si>
    <t xml:space="preserve">H03</t>
  </si>
  <si>
    <t xml:space="preserve">Juggernaut</t>
  </si>
  <si>
    <t xml:space="preserve">Brace</t>
  </si>
  <si>
    <t xml:space="preserve">Bulwark Hammer</t>
  </si>
  <si>
    <t xml:space="preserve">Hammer Mastery, Phys Def</t>
  </si>
  <si>
    <t xml:space="preserve">Take 20% less damage for 6s.</t>
  </si>
  <si>
    <t xml:space="preserve">+5 Hammer Mastery when learned, +0.4 per use vs. enemies near your level, up to 50</t>
  </si>
  <si>
    <t xml:space="preserve">H04</t>
  </si>
  <si>
    <t xml:space="preserve">Wide Swing</t>
  </si>
  <si>
    <t xml:space="preserve">Broad Maul</t>
  </si>
  <si>
    <t xml:space="preserve">Hit 3 tiles in a frontal arc.</t>
  </si>
  <si>
    <t xml:space="preserve">The 3-tile arc in the direction you're facing.</t>
  </si>
  <si>
    <t xml:space="preserve">H05</t>
  </si>
  <si>
    <t xml:space="preserve">Shockwave</t>
  </si>
  <si>
    <t xml:space="preserve">Shockwave Maul</t>
  </si>
  <si>
    <t xml:space="preserve">A shockwave travels 4 tiles in a line.</t>
  </si>
  <si>
    <t xml:space="preserve">Aim one of 8 directions. Travels 4 tiles quickly.</t>
  </si>
  <si>
    <t xml:space="preserve">+10 Hammer Mastery when learned, +0.6 per use vs. enemies near your level, up to 70</t>
  </si>
  <si>
    <t xml:space="preserve">H06</t>
  </si>
  <si>
    <t xml:space="preserve">Concussive Blow</t>
  </si>
  <si>
    <t xml:space="preserve">Skullcracker</t>
  </si>
  <si>
    <t xml:space="preserve">Stun an enemy for 1s.</t>
  </si>
  <si>
    <t xml:space="preserve">H07</t>
  </si>
  <si>
    <t xml:space="preserve">Leap Slam</t>
  </si>
  <si>
    <t xml:space="preserve">Mobility / AoE</t>
  </si>
  <si>
    <t xml:space="preserve">Wyvern Maul</t>
  </si>
  <si>
    <t xml:space="preserve">Leap up to 3 tiles and hit every enemy around the landing spot.</t>
  </si>
  <si>
    <t xml:space="preserve">Pick a tile within 3 to land on; hits everything adjacent to it.</t>
  </si>
  <si>
    <t xml:space="preserve">H08</t>
  </si>
  <si>
    <t xml:space="preserve">Sweeping Strike</t>
  </si>
  <si>
    <t xml:space="preserve">AoE CC</t>
  </si>
  <si>
    <t xml:space="preserve">Sweeper Maul</t>
  </si>
  <si>
    <t xml:space="preserve">Frontal arc that knocks enemies back 1 tile.</t>
  </si>
  <si>
    <t xml:space="preserve">Arc in the direction you're facing; pushes enemies away from you.</t>
  </si>
  <si>
    <t xml:space="preserve">H09</t>
  </si>
  <si>
    <t xml:space="preserve">Momentum</t>
  </si>
  <si>
    <t xml:space="preserve">Pendulum Hammer</t>
  </si>
  <si>
    <t xml:space="preserve">10s: each consecutive hit deals more damage (stacks 5 times).</t>
  </si>
  <si>
    <t xml:space="preserve">H10</t>
  </si>
  <si>
    <t xml:space="preserve">Crater</t>
  </si>
  <si>
    <t xml:space="preserve">Crater Maul</t>
  </si>
  <si>
    <t xml:space="preserve">Smash a 3x3 area down 1 height level.</t>
  </si>
  <si>
    <t xml:space="preserve">Pick a tile within 2; 3x3 area.</t>
  </si>
  <si>
    <t xml:space="preserve">+15 Hammer Mastery when learned, +0.8 per use vs. enemies near your level, up to 100</t>
  </si>
  <si>
    <t xml:space="preserve">H11</t>
  </si>
  <si>
    <t xml:space="preserve">Hammer Cyclone</t>
  </si>
  <si>
    <t xml:space="preserve">Cyclone Hammer</t>
  </si>
  <si>
    <t xml:space="preserve">Spin, hitting all enemies within 2 tiles.</t>
  </si>
  <si>
    <t xml:space="preserve">H12</t>
  </si>
  <si>
    <t xml:space="preserve">Armor Crush</t>
  </si>
  <si>
    <t xml:space="preserve">Armorbreaker</t>
  </si>
  <si>
    <t xml:space="preserve">Lower the Physical Defense of enemies in a frontal arc for 8s.</t>
  </si>
  <si>
    <t xml:space="preserve">Arc in the direction you're facing.</t>
  </si>
  <si>
    <t xml:space="preserve">H13</t>
  </si>
  <si>
    <t xml:space="preserve">Tremor</t>
  </si>
  <si>
    <t xml:space="preserve">Shockwave; Earth Mastery 350</t>
  </si>
  <si>
    <t xml:space="preserve">Tremor Maul</t>
  </si>
  <si>
    <t xml:space="preserve">3x3 slow and damage for 6s.</t>
  </si>
  <si>
    <t xml:space="preserve">Pick a tile within 4; 3x3 zone.</t>
  </si>
  <si>
    <t xml:space="preserve">H14</t>
  </si>
  <si>
    <t xml:space="preserve">Unstoppable</t>
  </si>
  <si>
    <t xml:space="preserve">Unyielding Hammer</t>
  </si>
  <si>
    <t xml:space="preserve">Hammer Mastery</t>
  </si>
  <si>
    <t xml:space="preserve">Immune to crowd control for 5s.</t>
  </si>
  <si>
    <t xml:space="preserve">+15 Hammer Mastery when learned, +1.6 per use vs. enemies near your level, up to 100</t>
  </si>
  <si>
    <t xml:space="preserve">H15</t>
  </si>
  <si>
    <t xml:space="preserve">Meteor Leap</t>
  </si>
  <si>
    <t xml:space="preserve">Meteor Maul</t>
  </si>
  <si>
    <t xml:space="preserve">Leap up to 5 tiles; massive damage within 2 tiles of landing.</t>
  </si>
  <si>
    <t xml:space="preserve">Pick a tile within 5. The landing spot is marked for 0.75s while you're airborne.</t>
  </si>
  <si>
    <t xml:space="preserve">+25 Hammer Mastery when learned, +2.0 per use vs. enemies near your level, up to 150</t>
  </si>
  <si>
    <t xml:space="preserve">H16</t>
  </si>
  <si>
    <t xml:space="preserve">Earthshatter</t>
  </si>
  <si>
    <t xml:space="preserve">Shatter a 4-tile cone.</t>
  </si>
  <si>
    <t xml:space="preserve">Aim one of 8 directions. 4-tile cone after a 0.5s wind-up.</t>
  </si>
  <si>
    <t xml:space="preserve">+25 Hammer Mastery when learned, +1.0 per use vs. enemies near your level, up to 150</t>
  </si>
  <si>
    <t xml:space="preserve">H17</t>
  </si>
  <si>
    <t xml:space="preserve">Thunderclap</t>
  </si>
  <si>
    <t xml:space="preserve">Hammer Cyclone; Air Mastery 350</t>
  </si>
  <si>
    <t xml:space="preserve">Thunder Hammer</t>
  </si>
  <si>
    <t xml:space="preserve">Hit all enemies within 2 tiles and slow them.</t>
  </si>
  <si>
    <t xml:space="preserve">H18</t>
  </si>
  <si>
    <t xml:space="preserve">Juggernaut Charge</t>
  </si>
  <si>
    <t xml:space="preserve">Mobility / CC</t>
  </si>
  <si>
    <t xml:space="preserve">Juggernaut Maul</t>
  </si>
  <si>
    <t xml:space="preserve">Charge 5 tiles, knocking aside every enemy in the path.</t>
  </si>
  <si>
    <t xml:space="preserve">Pick a direction (8-way) up to 5 tiles; stops at walls.</t>
  </si>
  <si>
    <t xml:space="preserve">H19</t>
  </si>
  <si>
    <t xml:space="preserve">Worldbreaker</t>
  </si>
  <si>
    <t xml:space="preserve">Meteor Leap; Earthshatter</t>
  </si>
  <si>
    <t xml:space="preserve">Huge strike over a 5x5 area.</t>
  </si>
  <si>
    <t xml:space="preserve">Pick a tile within 3. 1s wind-up.</t>
  </si>
  <si>
    <t xml:space="preserve">+50 Hammer Mastery when learned, +10.0 per use vs. enemies near your level, up to 200</t>
  </si>
  <si>
    <t xml:space="preserve">H20</t>
  </si>
  <si>
    <t xml:space="preserve">Titan's Fury</t>
  </si>
  <si>
    <t xml:space="preserve">Juggernaut Charge; Hammer Cyclone</t>
  </si>
  <si>
    <t xml:space="preserve">Titan's Maul</t>
  </si>
  <si>
    <t xml:space="preserve">12s: every hammer hit also damages enemies adjacent to the target.</t>
  </si>
  <si>
    <t xml:space="preserve">No target; extra damage hits enemies next to whatever you strike.</t>
  </si>
  <si>
    <t xml:space="preserve">Meaning</t>
  </si>
  <si>
    <t xml:space="preserve">Starter abilities, learnable right away</t>
  </si>
  <si>
    <t xml:space="preserve">First upgrades</t>
  </si>
  <si>
    <t xml:space="preserve">Core specialty abilities; hybrid abilities need 350 in a second tree</t>
  </si>
  <si>
    <t xml:space="preserve">Advanced and hybrid abilities</t>
  </si>
  <si>
    <t xml:space="preserve">Capstones</t>
  </si>
  <si>
    <t xml:space="preserve">Edit the yellow cells to retune every threshold; the Abilities sheet updates automatically.</t>
  </si>
  <si>
    <t xml:space="preserve">Mastery Stat</t>
  </si>
  <si>
    <t xml:space="preserve">Focus</t>
  </si>
  <si>
    <t xml:space="preserve">Branches</t>
  </si>
  <si>
    <t xml:space="preserve">Abilities</t>
  </si>
  <si>
    <t xml:space="preserve">Tier 1</t>
  </si>
  <si>
    <t xml:space="preserve">Tier 2</t>
  </si>
  <si>
    <t xml:space="preserve">Tier 3</t>
  </si>
  <si>
    <t xml:space="preserve">Tier 4</t>
  </si>
  <si>
    <t xml:space="preserve">Tier 5</t>
  </si>
  <si>
    <t xml:space="preserve">Fire Mastery</t>
  </si>
  <si>
    <t xml:space="preserve">Pure DPS</t>
  </si>
  <si>
    <t xml:space="preserve">Flame Martial, Fire Blasts, Advanced Fire</t>
  </si>
  <si>
    <t xml:space="preserve">Tanking + reshaping terrain</t>
  </si>
  <si>
    <t xml:space="preserve">Stone Guard, Terraform, Specialty Bending</t>
  </si>
  <si>
    <t xml:space="preserve">Healing + buffing</t>
  </si>
  <si>
    <t xml:space="preserve">Healing, Currents, Blessings, Ice</t>
  </si>
  <si>
    <t xml:space="preserve">Crowd control</t>
  </si>
  <si>
    <t xml:space="preserve">Winds, Breath, Flight</t>
  </si>
  <si>
    <t xml:space="preserve">Melee DPS</t>
  </si>
  <si>
    <t xml:space="preserve">Blade, Guard, Footwork</t>
  </si>
  <si>
    <t xml:space="preserve">Ranged DPS</t>
  </si>
  <si>
    <t xml:space="preserve">Marksman, Survival, Volley</t>
  </si>
  <si>
    <t xml:space="preserve">Melee AoE</t>
  </si>
  <si>
    <t xml:space="preserve">Smash, Quake, Juggernaut</t>
  </si>
  <si>
    <t xml:space="preserve">Total</t>
  </si>
  <si>
    <t xml:space="preserve">How the tree works</t>
  </si>
  <si>
    <t xml:space="preserve">Learning</t>
  </si>
  <si>
    <t xml:space="preserve">Every ability is taught by exactly one named item (Taught By). Scrolls teach bending, weapons teach weapon arts. A hero has a single learning slot: only the item in that slot earns AP toward its ability.</t>
  </si>
  <si>
    <t xml:space="preserve">Unlocking</t>
  </si>
  <si>
    <t xml:space="preserve">An ability can be learned once you meet its Mastery Required AND have mastered every ability listed in Prerequisites.</t>
  </si>
  <si>
    <t xml:space="preserve">Hybrids</t>
  </si>
  <si>
    <t xml:space="preserve">Prerequisites like 'Air Mastery 350' mean you also need 350 Mastery in a second tree. These are the cross-element abilities (Lightning, Lavabending, Sandstorm, Steam...).</t>
  </si>
  <si>
    <t xml:space="preserve">Scaling</t>
  </si>
  <si>
    <t xml:space="preserve">Damage, healing, shield size, duration and charges scale with the tree's Mastery stat plus the stat in Scales With.</t>
  </si>
  <si>
    <t xml:space="preserve">Specialist count</t>
  </si>
  <si>
    <t xml:space="preserve">Each tree has 20–23 abilities. A specialist who masters one tree and goes deep in a second (e.g. Fire + Sword) knows about 30.</t>
  </si>
  <si>
    <t xml:space="preserve">Editing</t>
  </si>
  <si>
    <t xml:space="preserve">Add an ability</t>
  </si>
  <si>
    <t xml:space="preserve">Add a row, give it a new ID (e.g. F22), pick Tree and Tier from the dropdowns, and copy the Mastery Required formula down from the row above.</t>
  </si>
  <si>
    <t xml:space="preserve">Write prerequisite ability names separated by semicolons, exactly as spelled in the Ability column.</t>
  </si>
  <si>
    <t xml:space="preserve">Blue numbers</t>
  </si>
  <si>
    <t xml:space="preserve">Cooldowns are starting values for playtesting — edit freely.</t>
  </si>
  <si>
    <t xml:space="preserve">Colors</t>
  </si>
  <si>
    <t xml:space="preserve">Row color = tree. Filter by Tree, Branch or Tier with the header arrows.</t>
  </si>
  <si>
    <t xml:space="preserve">Pick a unit; locks on and can't miss. Limits: range, line of sight, and any cast time the target can escape.</t>
  </si>
  <si>
    <t xml:space="preserve">Aim at an enemy or a direction; the shot locks on release and travels along a tile line (any angle, or 8-way where noted). Misses if the target moved.</t>
  </si>
  <si>
    <t xml:space="preserve">Pick a tile; the area is telegraphed before it goes off so units can step out.</t>
  </si>
  <si>
    <t xml:space="preserve">Centered on or affecting the caster; no aiming.</t>
  </si>
  <si>
    <t xml:space="preserve">Dodge rule</t>
  </si>
  <si>
    <t xml:space="preserve">A skillshot or telegraph is only dodgeable if its warning time is longer than the step cooldown plus ~0.3s reaction.</t>
  </si>
  <si>
    <t xml:space="preserve">Mastery growth</t>
  </si>
  <si>
    <t xml:space="preserve">On learn</t>
  </si>
  <si>
    <t xml:space="preserve">Mastering an ability (full AP) grants a one-time Mastery bonus in its tree (Mastery on Learn).</t>
  </si>
  <si>
    <t xml:space="preserve">Per use</t>
  </si>
  <si>
    <t xml:space="preserve">Each use against an enemy at or near your level adds Mastery per Use, until that ability has contributed its Mastery Cap in total.</t>
  </si>
  <si>
    <t xml:space="preserve">Defaults</t>
  </si>
  <si>
    <t xml:space="preserve">Tier 1: +5, +0.2, cap 50 | Tier 2: +10, +0.3, cap 70 | Tier 3: +15, +0.4, cap 100 | Tier 4: +25, +0.5, cap 150 | Tier 5: +50, +1, cap 200. Per-use gain is multiplied by cooldown so slow abilities keep pace: x2 for 10–29s, x4 for 30–89s, x10 for 90s+. All values are per row and editable.</t>
  </si>
  <si>
    <t xml:space="preserve">Pacing</t>
  </si>
  <si>
    <t xml:space="preserve">Tier 1 caps total 200, enough to reach Tier 2 (150). Tiers 1–2 reach Tier 3 (350); Tiers 1–3 reach Tier 4 (600); Tiers 1–4 reach Tier 5 (900). A hero must use a tree's abilities to climb it.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</si>
</sst>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3E55"/>
        <bgColor rgb="FF333399"/>
      </patternFill>
    </fill>
    <fill>
      <patternFill patternType="solid">
        <fgColor rgb="FFFDE2DA"/>
        <bgColor rgb="FFEBE3D3"/>
      </patternFill>
    </fill>
    <fill>
      <patternFill patternType="solid">
        <fgColor rgb="FFEBE3D3"/>
        <bgColor rgb="FFE8E8EE"/>
      </patternFill>
    </fill>
    <fill>
      <patternFill patternType="solid">
        <fgColor rgb="FFDCEBF7"/>
        <bgColor rgb="FFE8E8EE"/>
      </patternFill>
    </fill>
    <fill>
      <patternFill patternType="solid">
        <fgColor rgb="FFEEF3F5"/>
        <bgColor rgb="FFE8E8EE"/>
      </patternFill>
    </fill>
    <fill>
      <patternFill patternType="solid">
        <fgColor rgb="FFE8E8EE"/>
        <bgColor rgb="FFF1E6F2"/>
      </patternFill>
    </fill>
    <fill>
      <patternFill patternType="solid">
        <fgColor rgb="FFE3F0E0"/>
        <bgColor rgb="FFE8E8EE"/>
      </patternFill>
    </fill>
    <fill>
      <patternFill patternType="solid">
        <fgColor rgb="FFF1E6F2"/>
        <bgColor rgb="FFE8E8EE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3E55"/>
          <bgColor rgb="FF000000"/>
        </patternFill>
      </fill>
    </dxf>
    <dxf>
      <fill>
        <patternFill patternType="solid">
          <fgColor rgb="FFDCEBF7"/>
          <bgColor rgb="FF000000"/>
        </patternFill>
      </fill>
    </dxf>
    <dxf>
      <fill>
        <patternFill patternType="solid">
          <fgColor rgb="FFE3F0E0"/>
          <bgColor rgb="FF000000"/>
        </patternFill>
      </fill>
    </dxf>
    <dxf>
      <fill>
        <patternFill patternType="solid">
          <fgColor rgb="FFE8E8EE"/>
          <bgColor rgb="FF000000"/>
        </patternFill>
      </fill>
    </dxf>
    <dxf>
      <fill>
        <patternFill patternType="solid">
          <fgColor rgb="FFEBE3D3"/>
          <bgColor rgb="FF000000"/>
        </patternFill>
      </fill>
    </dxf>
    <dxf>
      <fill>
        <patternFill patternType="solid">
          <fgColor rgb="FFEEF3F5"/>
          <bgColor rgb="FF000000"/>
        </patternFill>
      </fill>
    </dxf>
    <dxf>
      <fill>
        <patternFill patternType="solid">
          <fgColor rgb="FFF1E6F2"/>
          <bgColor rgb="FF000000"/>
        </patternFill>
      </fill>
    </dxf>
    <dxf>
      <fill>
        <patternFill patternType="solid">
          <fgColor rgb="FFFDE2D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1E6F2"/>
      <rgbColor rgb="FF808080"/>
      <rgbColor rgb="FF9999FF"/>
      <rgbColor rgb="FF993366"/>
      <rgbColor rgb="FFEEF3F5"/>
      <rgbColor rgb="FFDC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E"/>
      <rgbColor rgb="FFE3F0E0"/>
      <rgbColor rgb="FFEBE3D3"/>
      <rgbColor rgb="FF99CCFF"/>
      <rgbColor rgb="FFFF99CC"/>
      <rgbColor rgb="FFCC99FF"/>
      <rgbColor rgb="FFFDE2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7"/>
    <col collapsed="false" customWidth="true" hidden="false" outlineLevel="0" max="4" min="4" style="0" width="6"/>
    <col collapsed="false" customWidth="true" hidden="false" outlineLevel="0" max="6" min="5" style="0" width="22"/>
    <col collapsed="false" customWidth="true" hidden="false" outlineLevel="0" max="7" min="7" style="0" width="17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1" min="10" style="0" width="26"/>
    <col collapsed="false" customWidth="true" hidden="false" outlineLevel="0" max="12" min="12" style="0" width="58"/>
    <col collapsed="false" customWidth="true" hidden="false" outlineLevel="0" max="13" min="13" style="0" width="12"/>
    <col collapsed="false" customWidth="true" hidden="false" outlineLevel="0" max="14" min="14" style="0" width="50"/>
    <col collapsed="false" customWidth="true" hidden="false" outlineLevel="0" max="18" min="15" style="0" width="11"/>
    <col collapsed="false" customWidth="true" hidden="false" outlineLevel="0" max="19" min="19" style="0" width="40"/>
    <col collapsed="false" customWidth="true" hidden="false" outlineLevel="0" max="20" min="20" style="0" width="24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6.85" hidden="false" customHeight="false" outlineLevel="0" collapsed="false">
      <c r="A2" s="2" t="s">
        <v>20</v>
      </c>
      <c r="B2" s="2" t="s">
        <v>21</v>
      </c>
      <c r="C2" s="2" t="s">
        <v>22</v>
      </c>
      <c r="D2" s="3" t="n">
        <v>1</v>
      </c>
      <c r="E2" s="2" t="str">
        <f aca="false">B2&amp;" Mastery "&amp;INDEX(Tiers!$B$2:$B$6,MATCH(D2,Tiers!$A$2:$A$6,0))</f>
        <v>Fire Mastery 0</v>
      </c>
      <c r="F2" s="4" t="s">
        <v>23</v>
      </c>
      <c r="G2" s="2" t="s">
        <v>24</v>
      </c>
      <c r="H2" s="2" t="s">
        <v>25</v>
      </c>
      <c r="I2" s="2" t="s">
        <v>26</v>
      </c>
      <c r="J2" s="5" t="s">
        <v>27</v>
      </c>
      <c r="K2" s="2" t="s">
        <v>28</v>
      </c>
      <c r="L2" s="2" t="s">
        <v>29</v>
      </c>
      <c r="M2" s="4" t="s">
        <v>30</v>
      </c>
      <c r="N2" s="2" t="s">
        <v>31</v>
      </c>
      <c r="O2" s="6" t="n">
        <v>2</v>
      </c>
      <c r="P2" s="6" t="n">
        <v>5</v>
      </c>
      <c r="Q2" s="6" t="n">
        <v>0.2</v>
      </c>
      <c r="R2" s="6" t="n">
        <v>50</v>
      </c>
      <c r="S2" s="2" t="s">
        <v>32</v>
      </c>
      <c r="T2" s="2"/>
    </row>
    <row r="3" customFormat="false" ht="26.85" hidden="false" customHeight="false" outlineLevel="0" collapsed="false">
      <c r="A3" s="2" t="s">
        <v>33</v>
      </c>
      <c r="B3" s="2" t="s">
        <v>21</v>
      </c>
      <c r="C3" s="2" t="s">
        <v>22</v>
      </c>
      <c r="D3" s="3" t="n">
        <v>1</v>
      </c>
      <c r="E3" s="2" t="str">
        <f aca="false">B3&amp;" Mastery "&amp;INDEX(Tiers!$B$2:$B$6,MATCH(D3,Tiers!$A$2:$A$6,0))</f>
        <v>Fire Mastery 0</v>
      </c>
      <c r="F3" s="4" t="s">
        <v>34</v>
      </c>
      <c r="G3" s="2" t="s">
        <v>24</v>
      </c>
      <c r="H3" s="2" t="s">
        <v>25</v>
      </c>
      <c r="I3" s="2" t="s">
        <v>26</v>
      </c>
      <c r="J3" s="5" t="s">
        <v>35</v>
      </c>
      <c r="K3" s="2" t="s">
        <v>28</v>
      </c>
      <c r="L3" s="2" t="s">
        <v>36</v>
      </c>
      <c r="M3" s="4" t="s">
        <v>30</v>
      </c>
      <c r="N3" s="2" t="s">
        <v>37</v>
      </c>
      <c r="O3" s="6" t="n">
        <v>4</v>
      </c>
      <c r="P3" s="6" t="n">
        <v>5</v>
      </c>
      <c r="Q3" s="6" t="n">
        <v>0.2</v>
      </c>
      <c r="R3" s="6" t="n">
        <v>50</v>
      </c>
      <c r="S3" s="2" t="s">
        <v>32</v>
      </c>
      <c r="T3" s="2"/>
    </row>
    <row r="4" customFormat="false" ht="26.85" hidden="false" customHeight="false" outlineLevel="0" collapsed="false">
      <c r="A4" s="2" t="s">
        <v>38</v>
      </c>
      <c r="B4" s="2" t="s">
        <v>21</v>
      </c>
      <c r="C4" s="2" t="s">
        <v>39</v>
      </c>
      <c r="D4" s="3" t="n">
        <v>1</v>
      </c>
      <c r="E4" s="2" t="str">
        <f aca="false">B4&amp;" Mastery "&amp;INDEX(Tiers!$B$2:$B$6,MATCH(D4,Tiers!$A$2:$A$6,0))</f>
        <v>Fire Mastery 0</v>
      </c>
      <c r="F4" s="4" t="s">
        <v>40</v>
      </c>
      <c r="G4" s="2" t="s">
        <v>24</v>
      </c>
      <c r="H4" s="2" t="s">
        <v>25</v>
      </c>
      <c r="I4" s="2" t="s">
        <v>26</v>
      </c>
      <c r="J4" s="5" t="s">
        <v>41</v>
      </c>
      <c r="K4" s="2" t="s">
        <v>28</v>
      </c>
      <c r="L4" s="2" t="s">
        <v>42</v>
      </c>
      <c r="M4" s="4" t="s">
        <v>43</v>
      </c>
      <c r="N4" s="2" t="s">
        <v>44</v>
      </c>
      <c r="O4" s="6" t="n">
        <v>2</v>
      </c>
      <c r="P4" s="6" t="n">
        <v>5</v>
      </c>
      <c r="Q4" s="6" t="n">
        <v>0.2</v>
      </c>
      <c r="R4" s="6" t="n">
        <v>50</v>
      </c>
      <c r="S4" s="2" t="s">
        <v>32</v>
      </c>
      <c r="T4" s="2"/>
    </row>
    <row r="5" customFormat="false" ht="26.85" hidden="false" customHeight="false" outlineLevel="0" collapsed="false">
      <c r="A5" s="2" t="s">
        <v>45</v>
      </c>
      <c r="B5" s="2" t="s">
        <v>21</v>
      </c>
      <c r="C5" s="2" t="s">
        <v>39</v>
      </c>
      <c r="D5" s="3" t="n">
        <v>1</v>
      </c>
      <c r="E5" s="2" t="str">
        <f aca="false">B5&amp;" Mastery "&amp;INDEX(Tiers!$B$2:$B$6,MATCH(D5,Tiers!$A$2:$A$6,0))</f>
        <v>Fire Mastery 0</v>
      </c>
      <c r="F5" s="4" t="s">
        <v>46</v>
      </c>
      <c r="G5" s="2" t="s">
        <v>47</v>
      </c>
      <c r="H5" s="2" t="s">
        <v>25</v>
      </c>
      <c r="I5" s="2" t="s">
        <v>26</v>
      </c>
      <c r="J5" s="5" t="s">
        <v>48</v>
      </c>
      <c r="K5" s="2" t="s">
        <v>28</v>
      </c>
      <c r="L5" s="2" t="s">
        <v>49</v>
      </c>
      <c r="M5" s="4" t="s">
        <v>50</v>
      </c>
      <c r="N5" s="2" t="s">
        <v>51</v>
      </c>
      <c r="O5" s="6" t="n">
        <v>20</v>
      </c>
      <c r="P5" s="6" t="n">
        <v>5</v>
      </c>
      <c r="Q5" s="6" t="n">
        <v>0.4</v>
      </c>
      <c r="R5" s="6" t="n">
        <v>50</v>
      </c>
      <c r="S5" s="2" t="s">
        <v>52</v>
      </c>
      <c r="T5" s="2"/>
    </row>
    <row r="6" customFormat="false" ht="39.55" hidden="false" customHeight="false" outlineLevel="0" collapsed="false">
      <c r="A6" s="2" t="s">
        <v>53</v>
      </c>
      <c r="B6" s="2" t="s">
        <v>21</v>
      </c>
      <c r="C6" s="2" t="s">
        <v>22</v>
      </c>
      <c r="D6" s="3" t="n">
        <v>2</v>
      </c>
      <c r="E6" s="2" t="str">
        <f aca="false">B6&amp;" Mastery "&amp;INDEX(Tiers!$B$2:$B$6,MATCH(D6,Tiers!$A$2:$A$6,0))</f>
        <v>Fire Mastery 150</v>
      </c>
      <c r="F6" s="4" t="s">
        <v>54</v>
      </c>
      <c r="G6" s="2" t="s">
        <v>55</v>
      </c>
      <c r="H6" s="2" t="s">
        <v>34</v>
      </c>
      <c r="I6" s="2" t="s">
        <v>26</v>
      </c>
      <c r="J6" s="5" t="s">
        <v>56</v>
      </c>
      <c r="K6" s="2" t="s">
        <v>28</v>
      </c>
      <c r="L6" s="2" t="s">
        <v>57</v>
      </c>
      <c r="M6" s="4" t="s">
        <v>58</v>
      </c>
      <c r="N6" s="2" t="s">
        <v>59</v>
      </c>
      <c r="O6" s="6" t="n">
        <v>8</v>
      </c>
      <c r="P6" s="6" t="n">
        <v>10</v>
      </c>
      <c r="Q6" s="6" t="n">
        <v>0.3</v>
      </c>
      <c r="R6" s="6" t="n">
        <v>70</v>
      </c>
      <c r="S6" s="2" t="s">
        <v>60</v>
      </c>
      <c r="T6" s="2"/>
    </row>
    <row r="7" customFormat="false" ht="26.85" hidden="false" customHeight="false" outlineLevel="0" collapsed="false">
      <c r="A7" s="2" t="s">
        <v>61</v>
      </c>
      <c r="B7" s="2" t="s">
        <v>21</v>
      </c>
      <c r="C7" s="2" t="s">
        <v>22</v>
      </c>
      <c r="D7" s="3" t="n">
        <v>2</v>
      </c>
      <c r="E7" s="2" t="str">
        <f aca="false">B7&amp;" Mastery "&amp;INDEX(Tiers!$B$2:$B$6,MATCH(D7,Tiers!$A$2:$A$6,0))</f>
        <v>Fire Mastery 150</v>
      </c>
      <c r="F7" s="4" t="s">
        <v>62</v>
      </c>
      <c r="G7" s="2" t="s">
        <v>24</v>
      </c>
      <c r="H7" s="2" t="s">
        <v>23</v>
      </c>
      <c r="I7" s="2" t="s">
        <v>26</v>
      </c>
      <c r="J7" s="5" t="s">
        <v>63</v>
      </c>
      <c r="K7" s="2" t="s">
        <v>28</v>
      </c>
      <c r="L7" s="2" t="s">
        <v>64</v>
      </c>
      <c r="M7" s="4" t="s">
        <v>43</v>
      </c>
      <c r="N7" s="2" t="s">
        <v>65</v>
      </c>
      <c r="O7" s="6" t="n">
        <v>6</v>
      </c>
      <c r="P7" s="6" t="n">
        <v>10</v>
      </c>
      <c r="Q7" s="6" t="n">
        <v>0.3</v>
      </c>
      <c r="R7" s="6" t="n">
        <v>70</v>
      </c>
      <c r="S7" s="2" t="s">
        <v>60</v>
      </c>
      <c r="T7" s="2"/>
    </row>
    <row r="8" customFormat="false" ht="26.85" hidden="false" customHeight="false" outlineLevel="0" collapsed="false">
      <c r="A8" s="2" t="s">
        <v>66</v>
      </c>
      <c r="B8" s="2" t="s">
        <v>21</v>
      </c>
      <c r="C8" s="2" t="s">
        <v>39</v>
      </c>
      <c r="D8" s="3" t="n">
        <v>2</v>
      </c>
      <c r="E8" s="2" t="str">
        <f aca="false">B8&amp;" Mastery "&amp;INDEX(Tiers!$B$2:$B$6,MATCH(D8,Tiers!$A$2:$A$6,0))</f>
        <v>Fire Mastery 150</v>
      </c>
      <c r="F8" s="4" t="s">
        <v>67</v>
      </c>
      <c r="G8" s="2" t="s">
        <v>68</v>
      </c>
      <c r="H8" s="2" t="s">
        <v>40</v>
      </c>
      <c r="I8" s="2" t="s">
        <v>26</v>
      </c>
      <c r="J8" s="5" t="s">
        <v>69</v>
      </c>
      <c r="K8" s="2" t="s">
        <v>28</v>
      </c>
      <c r="L8" s="2" t="s">
        <v>70</v>
      </c>
      <c r="M8" s="4" t="s">
        <v>58</v>
      </c>
      <c r="N8" s="2" t="s">
        <v>71</v>
      </c>
      <c r="O8" s="6" t="n">
        <v>8</v>
      </c>
      <c r="P8" s="6" t="n">
        <v>10</v>
      </c>
      <c r="Q8" s="6" t="n">
        <v>0.3</v>
      </c>
      <c r="R8" s="6" t="n">
        <v>70</v>
      </c>
      <c r="S8" s="2" t="s">
        <v>60</v>
      </c>
      <c r="T8" s="2"/>
    </row>
    <row r="9" customFormat="false" ht="26.85" hidden="false" customHeight="false" outlineLevel="0" collapsed="false">
      <c r="A9" s="2" t="s">
        <v>72</v>
      </c>
      <c r="B9" s="2" t="s">
        <v>21</v>
      </c>
      <c r="C9" s="2" t="s">
        <v>39</v>
      </c>
      <c r="D9" s="3" t="n">
        <v>2</v>
      </c>
      <c r="E9" s="2" t="str">
        <f aca="false">B9&amp;" Mastery "&amp;INDEX(Tiers!$B$2:$B$6,MATCH(D9,Tiers!$A$2:$A$6,0))</f>
        <v>Fire Mastery 150</v>
      </c>
      <c r="F9" s="4" t="s">
        <v>73</v>
      </c>
      <c r="G9" s="2" t="s">
        <v>68</v>
      </c>
      <c r="H9" s="2" t="s">
        <v>40</v>
      </c>
      <c r="I9" s="2" t="s">
        <v>26</v>
      </c>
      <c r="J9" s="5" t="s">
        <v>74</v>
      </c>
      <c r="K9" s="2" t="s">
        <v>28</v>
      </c>
      <c r="L9" s="2" t="s">
        <v>75</v>
      </c>
      <c r="M9" s="4" t="s">
        <v>58</v>
      </c>
      <c r="N9" s="2" t="s">
        <v>76</v>
      </c>
      <c r="O9" s="6" t="n">
        <v>14</v>
      </c>
      <c r="P9" s="6" t="n">
        <v>10</v>
      </c>
      <c r="Q9" s="6" t="n">
        <v>0.6</v>
      </c>
      <c r="R9" s="6" t="n">
        <v>70</v>
      </c>
      <c r="S9" s="2" t="s">
        <v>77</v>
      </c>
      <c r="T9" s="2"/>
    </row>
    <row r="10" customFormat="false" ht="26.85" hidden="false" customHeight="false" outlineLevel="0" collapsed="false">
      <c r="A10" s="2" t="s">
        <v>78</v>
      </c>
      <c r="B10" s="2" t="s">
        <v>21</v>
      </c>
      <c r="C10" s="2" t="s">
        <v>22</v>
      </c>
      <c r="D10" s="3" t="n">
        <v>2</v>
      </c>
      <c r="E10" s="2" t="str">
        <f aca="false">B10&amp;" Mastery "&amp;INDEX(Tiers!$B$2:$B$6,MATCH(D10,Tiers!$A$2:$A$6,0))</f>
        <v>Fire Mastery 150</v>
      </c>
      <c r="F10" s="4" t="s">
        <v>79</v>
      </c>
      <c r="G10" s="2" t="s">
        <v>24</v>
      </c>
      <c r="H10" s="2" t="s">
        <v>80</v>
      </c>
      <c r="I10" s="2" t="s">
        <v>26</v>
      </c>
      <c r="J10" s="5" t="s">
        <v>81</v>
      </c>
      <c r="K10" s="2" t="s">
        <v>28</v>
      </c>
      <c r="L10" s="2" t="s">
        <v>82</v>
      </c>
      <c r="M10" s="4" t="s">
        <v>30</v>
      </c>
      <c r="N10" s="2" t="s">
        <v>83</v>
      </c>
      <c r="O10" s="6" t="n">
        <v>10</v>
      </c>
      <c r="P10" s="6" t="n">
        <v>10</v>
      </c>
      <c r="Q10" s="6" t="n">
        <v>0.6</v>
      </c>
      <c r="R10" s="6" t="n">
        <v>70</v>
      </c>
      <c r="S10" s="2" t="s">
        <v>77</v>
      </c>
      <c r="T10" s="2"/>
    </row>
    <row r="11" customFormat="false" ht="26.85" hidden="false" customHeight="false" outlineLevel="0" collapsed="false">
      <c r="A11" s="2" t="s">
        <v>84</v>
      </c>
      <c r="B11" s="2" t="s">
        <v>21</v>
      </c>
      <c r="C11" s="2" t="s">
        <v>22</v>
      </c>
      <c r="D11" s="3" t="n">
        <v>3</v>
      </c>
      <c r="E11" s="2" t="str">
        <f aca="false">B11&amp;" Mastery "&amp;INDEX(Tiers!$B$2:$B$6,MATCH(D11,Tiers!$A$2:$A$6,0))</f>
        <v>Fire Mastery 350</v>
      </c>
      <c r="F11" s="4" t="s">
        <v>85</v>
      </c>
      <c r="G11" s="2" t="s">
        <v>68</v>
      </c>
      <c r="H11" s="2" t="s">
        <v>54</v>
      </c>
      <c r="I11" s="2" t="s">
        <v>26</v>
      </c>
      <c r="J11" s="5" t="s">
        <v>86</v>
      </c>
      <c r="K11" s="2" t="s">
        <v>28</v>
      </c>
      <c r="L11" s="2" t="s">
        <v>87</v>
      </c>
      <c r="M11" s="4" t="s">
        <v>50</v>
      </c>
      <c r="N11" s="2" t="s">
        <v>88</v>
      </c>
      <c r="O11" s="6" t="n">
        <v>10</v>
      </c>
      <c r="P11" s="6" t="n">
        <v>15</v>
      </c>
      <c r="Q11" s="6" t="n">
        <v>0.8</v>
      </c>
      <c r="R11" s="6" t="n">
        <v>100</v>
      </c>
      <c r="S11" s="2" t="s">
        <v>89</v>
      </c>
      <c r="T11" s="2"/>
    </row>
    <row r="12" customFormat="false" ht="26.85" hidden="false" customHeight="false" outlineLevel="0" collapsed="false">
      <c r="A12" s="2" t="s">
        <v>90</v>
      </c>
      <c r="B12" s="2" t="s">
        <v>21</v>
      </c>
      <c r="C12" s="2" t="s">
        <v>22</v>
      </c>
      <c r="D12" s="3" t="n">
        <v>3</v>
      </c>
      <c r="E12" s="2" t="str">
        <f aca="false">B12&amp;" Mastery "&amp;INDEX(Tiers!$B$2:$B$6,MATCH(D12,Tiers!$A$2:$A$6,0))</f>
        <v>Fire Mastery 350</v>
      </c>
      <c r="F12" s="4" t="s">
        <v>91</v>
      </c>
      <c r="G12" s="2" t="s">
        <v>55</v>
      </c>
      <c r="H12" s="2" t="s">
        <v>54</v>
      </c>
      <c r="I12" s="2" t="s">
        <v>26</v>
      </c>
      <c r="J12" s="5" t="s">
        <v>92</v>
      </c>
      <c r="K12" s="2" t="s">
        <v>28</v>
      </c>
      <c r="L12" s="2" t="s">
        <v>93</v>
      </c>
      <c r="M12" s="4" t="s">
        <v>50</v>
      </c>
      <c r="N12" s="2" t="s">
        <v>94</v>
      </c>
      <c r="O12" s="6" t="n">
        <v>25</v>
      </c>
      <c r="P12" s="6" t="n">
        <v>15</v>
      </c>
      <c r="Q12" s="6" t="n">
        <v>0.8</v>
      </c>
      <c r="R12" s="6" t="n">
        <v>100</v>
      </c>
      <c r="S12" s="2" t="s">
        <v>89</v>
      </c>
      <c r="T12" s="2"/>
    </row>
    <row r="13" customFormat="false" ht="26.85" hidden="false" customHeight="false" outlineLevel="0" collapsed="false">
      <c r="A13" s="2" t="s">
        <v>95</v>
      </c>
      <c r="B13" s="2" t="s">
        <v>21</v>
      </c>
      <c r="C13" s="2" t="s">
        <v>39</v>
      </c>
      <c r="D13" s="3" t="n">
        <v>3</v>
      </c>
      <c r="E13" s="2" t="str">
        <f aca="false">B13&amp;" Mastery "&amp;INDEX(Tiers!$B$2:$B$6,MATCH(D13,Tiers!$A$2:$A$6,0))</f>
        <v>Fire Mastery 350</v>
      </c>
      <c r="F13" s="4" t="s">
        <v>96</v>
      </c>
      <c r="G13" s="2" t="s">
        <v>24</v>
      </c>
      <c r="H13" s="2" t="s">
        <v>67</v>
      </c>
      <c r="I13" s="2" t="s">
        <v>26</v>
      </c>
      <c r="J13" s="5" t="s">
        <v>97</v>
      </c>
      <c r="K13" s="2" t="s">
        <v>28</v>
      </c>
      <c r="L13" s="2" t="s">
        <v>98</v>
      </c>
      <c r="M13" s="4" t="s">
        <v>43</v>
      </c>
      <c r="N13" s="2" t="s">
        <v>99</v>
      </c>
      <c r="O13" s="6" t="n">
        <v>12</v>
      </c>
      <c r="P13" s="6" t="n">
        <v>15</v>
      </c>
      <c r="Q13" s="6" t="n">
        <v>0.8</v>
      </c>
      <c r="R13" s="6" t="n">
        <v>100</v>
      </c>
      <c r="S13" s="2" t="s">
        <v>89</v>
      </c>
      <c r="T13" s="2"/>
    </row>
    <row r="14" customFormat="false" ht="26.85" hidden="false" customHeight="false" outlineLevel="0" collapsed="false">
      <c r="A14" s="2" t="s">
        <v>100</v>
      </c>
      <c r="B14" s="2" t="s">
        <v>21</v>
      </c>
      <c r="C14" s="2" t="s">
        <v>39</v>
      </c>
      <c r="D14" s="3" t="n">
        <v>3</v>
      </c>
      <c r="E14" s="2" t="str">
        <f aca="false">B14&amp;" Mastery "&amp;INDEX(Tiers!$B$2:$B$6,MATCH(D14,Tiers!$A$2:$A$6,0))</f>
        <v>Fire Mastery 350</v>
      </c>
      <c r="F14" s="4" t="s">
        <v>101</v>
      </c>
      <c r="G14" s="2" t="s">
        <v>102</v>
      </c>
      <c r="H14" s="2" t="s">
        <v>73</v>
      </c>
      <c r="I14" s="2" t="s">
        <v>26</v>
      </c>
      <c r="J14" s="5" t="s">
        <v>103</v>
      </c>
      <c r="K14" s="2" t="s">
        <v>28</v>
      </c>
      <c r="L14" s="2" t="s">
        <v>104</v>
      </c>
      <c r="M14" s="4" t="s">
        <v>43</v>
      </c>
      <c r="N14" s="2" t="s">
        <v>105</v>
      </c>
      <c r="O14" s="6" t="n">
        <v>16</v>
      </c>
      <c r="P14" s="6" t="n">
        <v>15</v>
      </c>
      <c r="Q14" s="6" t="n">
        <v>0.8</v>
      </c>
      <c r="R14" s="6" t="n">
        <v>100</v>
      </c>
      <c r="S14" s="2" t="s">
        <v>89</v>
      </c>
      <c r="T14" s="2"/>
    </row>
    <row r="15" customFormat="false" ht="26.85" hidden="false" customHeight="false" outlineLevel="0" collapsed="false">
      <c r="A15" s="2" t="s">
        <v>106</v>
      </c>
      <c r="B15" s="2" t="s">
        <v>21</v>
      </c>
      <c r="C15" s="2" t="s">
        <v>39</v>
      </c>
      <c r="D15" s="3" t="n">
        <v>3</v>
      </c>
      <c r="E15" s="2" t="str">
        <f aca="false">B15&amp;" Mastery "&amp;INDEX(Tiers!$B$2:$B$6,MATCH(D15,Tiers!$A$2:$A$6,0))</f>
        <v>Fire Mastery 350</v>
      </c>
      <c r="F15" s="4" t="s">
        <v>107</v>
      </c>
      <c r="G15" s="2" t="s">
        <v>68</v>
      </c>
      <c r="H15" s="2" t="s">
        <v>108</v>
      </c>
      <c r="I15" s="2" t="s">
        <v>26</v>
      </c>
      <c r="J15" s="5" t="s">
        <v>109</v>
      </c>
      <c r="K15" s="2" t="s">
        <v>28</v>
      </c>
      <c r="L15" s="2" t="s">
        <v>110</v>
      </c>
      <c r="M15" s="4" t="s">
        <v>43</v>
      </c>
      <c r="N15" s="2" t="s">
        <v>111</v>
      </c>
      <c r="O15" s="6" t="n">
        <v>14</v>
      </c>
      <c r="P15" s="6" t="n">
        <v>15</v>
      </c>
      <c r="Q15" s="6" t="n">
        <v>0.8</v>
      </c>
      <c r="R15" s="6" t="n">
        <v>100</v>
      </c>
      <c r="S15" s="2" t="s">
        <v>89</v>
      </c>
      <c r="T15" s="2"/>
    </row>
    <row r="16" customFormat="false" ht="26.85" hidden="false" customHeight="false" outlineLevel="0" collapsed="false">
      <c r="A16" s="2" t="s">
        <v>112</v>
      </c>
      <c r="B16" s="2" t="s">
        <v>21</v>
      </c>
      <c r="C16" s="2" t="s">
        <v>22</v>
      </c>
      <c r="D16" s="3" t="n">
        <v>4</v>
      </c>
      <c r="E16" s="2" t="str">
        <f aca="false">B16&amp;" Mastery "&amp;INDEX(Tiers!$B$2:$B$6,MATCH(D16,Tiers!$A$2:$A$6,0))</f>
        <v>Fire Mastery 600</v>
      </c>
      <c r="F16" s="4" t="s">
        <v>113</v>
      </c>
      <c r="G16" s="2" t="s">
        <v>68</v>
      </c>
      <c r="H16" s="2" t="s">
        <v>85</v>
      </c>
      <c r="I16" s="2" t="s">
        <v>26</v>
      </c>
      <c r="J16" s="5" t="s">
        <v>114</v>
      </c>
      <c r="K16" s="2" t="s">
        <v>28</v>
      </c>
      <c r="L16" s="2" t="s">
        <v>115</v>
      </c>
      <c r="M16" s="4" t="s">
        <v>30</v>
      </c>
      <c r="N16" s="2" t="s">
        <v>116</v>
      </c>
      <c r="O16" s="6" t="n">
        <v>18</v>
      </c>
      <c r="P16" s="6" t="n">
        <v>25</v>
      </c>
      <c r="Q16" s="6" t="n">
        <v>1</v>
      </c>
      <c r="R16" s="6" t="n">
        <v>150</v>
      </c>
      <c r="S16" s="2" t="s">
        <v>117</v>
      </c>
      <c r="T16" s="2"/>
    </row>
    <row r="17" customFormat="false" ht="26.85" hidden="false" customHeight="false" outlineLevel="0" collapsed="false">
      <c r="A17" s="2" t="s">
        <v>118</v>
      </c>
      <c r="B17" s="2" t="s">
        <v>21</v>
      </c>
      <c r="C17" s="2" t="s">
        <v>39</v>
      </c>
      <c r="D17" s="3" t="n">
        <v>4</v>
      </c>
      <c r="E17" s="2" t="str">
        <f aca="false">B17&amp;" Mastery "&amp;INDEX(Tiers!$B$2:$B$6,MATCH(D17,Tiers!$A$2:$A$6,0))</f>
        <v>Fire Mastery 600</v>
      </c>
      <c r="F17" s="4" t="s">
        <v>119</v>
      </c>
      <c r="G17" s="2" t="s">
        <v>68</v>
      </c>
      <c r="H17" s="2" t="s">
        <v>120</v>
      </c>
      <c r="I17" s="2" t="s">
        <v>26</v>
      </c>
      <c r="J17" s="5" t="s">
        <v>121</v>
      </c>
      <c r="K17" s="2" t="s">
        <v>28</v>
      </c>
      <c r="L17" s="2" t="s">
        <v>122</v>
      </c>
      <c r="M17" s="4" t="s">
        <v>58</v>
      </c>
      <c r="N17" s="2" t="s">
        <v>123</v>
      </c>
      <c r="O17" s="6" t="n">
        <v>30</v>
      </c>
      <c r="P17" s="6" t="n">
        <v>25</v>
      </c>
      <c r="Q17" s="6" t="n">
        <v>2</v>
      </c>
      <c r="R17" s="6" t="n">
        <v>150</v>
      </c>
      <c r="S17" s="2" t="s">
        <v>124</v>
      </c>
      <c r="T17" s="2"/>
    </row>
    <row r="18" customFormat="false" ht="39.55" hidden="false" customHeight="false" outlineLevel="0" collapsed="false">
      <c r="A18" s="2" t="s">
        <v>125</v>
      </c>
      <c r="B18" s="2" t="s">
        <v>21</v>
      </c>
      <c r="C18" s="2" t="s">
        <v>126</v>
      </c>
      <c r="D18" s="3" t="n">
        <v>4</v>
      </c>
      <c r="E18" s="2" t="str">
        <f aca="false">B18&amp;" Mastery "&amp;INDEX(Tiers!$B$2:$B$6,MATCH(D18,Tiers!$A$2:$A$6,0))</f>
        <v>Fire Mastery 600</v>
      </c>
      <c r="F18" s="4" t="s">
        <v>127</v>
      </c>
      <c r="G18" s="2" t="s">
        <v>128</v>
      </c>
      <c r="H18" s="2" t="s">
        <v>129</v>
      </c>
      <c r="I18" s="2" t="s">
        <v>26</v>
      </c>
      <c r="J18" s="5" t="s">
        <v>130</v>
      </c>
      <c r="K18" s="2" t="s">
        <v>131</v>
      </c>
      <c r="L18" s="2" t="s">
        <v>132</v>
      </c>
      <c r="M18" s="4" t="s">
        <v>30</v>
      </c>
      <c r="N18" s="2" t="s">
        <v>133</v>
      </c>
      <c r="O18" s="6" t="n">
        <v>20</v>
      </c>
      <c r="P18" s="6" t="n">
        <v>25</v>
      </c>
      <c r="Q18" s="6" t="n">
        <v>1</v>
      </c>
      <c r="R18" s="6" t="n">
        <v>150</v>
      </c>
      <c r="S18" s="2" t="s">
        <v>117</v>
      </c>
      <c r="T18" s="2"/>
    </row>
    <row r="19" customFormat="false" ht="26.85" hidden="false" customHeight="false" outlineLevel="0" collapsed="false">
      <c r="A19" s="2" t="s">
        <v>134</v>
      </c>
      <c r="B19" s="2" t="s">
        <v>21</v>
      </c>
      <c r="C19" s="2" t="s">
        <v>126</v>
      </c>
      <c r="D19" s="3" t="n">
        <v>4</v>
      </c>
      <c r="E19" s="2" t="str">
        <f aca="false">B19&amp;" Mastery "&amp;INDEX(Tiers!$B$2:$B$6,MATCH(D19,Tiers!$A$2:$A$6,0))</f>
        <v>Fire Mastery 600</v>
      </c>
      <c r="F19" s="4" t="s">
        <v>135</v>
      </c>
      <c r="G19" s="2" t="s">
        <v>128</v>
      </c>
      <c r="H19" s="2" t="s">
        <v>67</v>
      </c>
      <c r="I19" s="2" t="s">
        <v>26</v>
      </c>
      <c r="J19" s="5" t="s">
        <v>136</v>
      </c>
      <c r="K19" s="2" t="s">
        <v>28</v>
      </c>
      <c r="L19" s="2" t="s">
        <v>137</v>
      </c>
      <c r="M19" s="4" t="s">
        <v>58</v>
      </c>
      <c r="N19" s="2" t="s">
        <v>138</v>
      </c>
      <c r="O19" s="6" t="n">
        <v>24</v>
      </c>
      <c r="P19" s="6" t="n">
        <v>25</v>
      </c>
      <c r="Q19" s="6" t="n">
        <v>1</v>
      </c>
      <c r="R19" s="6" t="n">
        <v>150</v>
      </c>
      <c r="S19" s="2" t="s">
        <v>117</v>
      </c>
      <c r="T19" s="2"/>
    </row>
    <row r="20" customFormat="false" ht="26.85" hidden="false" customHeight="false" outlineLevel="0" collapsed="false">
      <c r="A20" s="2" t="s">
        <v>139</v>
      </c>
      <c r="B20" s="2" t="s">
        <v>21</v>
      </c>
      <c r="C20" s="2" t="s">
        <v>126</v>
      </c>
      <c r="D20" s="3" t="n">
        <v>5</v>
      </c>
      <c r="E20" s="2" t="str">
        <f aca="false">B20&amp;" Mastery "&amp;INDEX(Tiers!$B$2:$B$6,MATCH(D20,Tiers!$A$2:$A$6,0))</f>
        <v>Fire Mastery 900</v>
      </c>
      <c r="F20" s="4" t="s">
        <v>140</v>
      </c>
      <c r="G20" s="2" t="s">
        <v>141</v>
      </c>
      <c r="H20" s="2" t="s">
        <v>127</v>
      </c>
      <c r="I20" s="2" t="s">
        <v>26</v>
      </c>
      <c r="J20" s="5" t="s">
        <v>142</v>
      </c>
      <c r="K20" s="2" t="s">
        <v>28</v>
      </c>
      <c r="L20" s="2" t="s">
        <v>143</v>
      </c>
      <c r="M20" s="4" t="s">
        <v>50</v>
      </c>
      <c r="N20" s="2" t="s">
        <v>144</v>
      </c>
      <c r="O20" s="6" t="n">
        <v>30</v>
      </c>
      <c r="P20" s="6" t="n">
        <v>50</v>
      </c>
      <c r="Q20" s="6" t="n">
        <v>4</v>
      </c>
      <c r="R20" s="6" t="n">
        <v>200</v>
      </c>
      <c r="S20" s="2" t="s">
        <v>145</v>
      </c>
      <c r="T20" s="2"/>
    </row>
    <row r="21" customFormat="false" ht="26.85" hidden="false" customHeight="false" outlineLevel="0" collapsed="false">
      <c r="A21" s="2" t="s">
        <v>146</v>
      </c>
      <c r="B21" s="2" t="s">
        <v>21</v>
      </c>
      <c r="C21" s="2" t="s">
        <v>126</v>
      </c>
      <c r="D21" s="3" t="n">
        <v>5</v>
      </c>
      <c r="E21" s="2" t="str">
        <f aca="false">B21&amp;" Mastery "&amp;INDEX(Tiers!$B$2:$B$6,MATCH(D21,Tiers!$A$2:$A$6,0))</f>
        <v>Fire Mastery 900</v>
      </c>
      <c r="F21" s="4" t="s">
        <v>147</v>
      </c>
      <c r="G21" s="2" t="s">
        <v>47</v>
      </c>
      <c r="H21" s="2" t="s">
        <v>119</v>
      </c>
      <c r="I21" s="2" t="s">
        <v>26</v>
      </c>
      <c r="J21" s="5" t="s">
        <v>148</v>
      </c>
      <c r="K21" s="2" t="s">
        <v>28</v>
      </c>
      <c r="L21" s="2" t="s">
        <v>149</v>
      </c>
      <c r="M21" s="4" t="s">
        <v>50</v>
      </c>
      <c r="N21" s="2" t="s">
        <v>51</v>
      </c>
      <c r="O21" s="6" t="n">
        <v>90</v>
      </c>
      <c r="P21" s="6" t="n">
        <v>50</v>
      </c>
      <c r="Q21" s="6" t="n">
        <v>10</v>
      </c>
      <c r="R21" s="6" t="n">
        <v>200</v>
      </c>
      <c r="S21" s="2" t="s">
        <v>150</v>
      </c>
      <c r="T21" s="2"/>
    </row>
    <row r="22" customFormat="false" ht="26.85" hidden="false" customHeight="false" outlineLevel="0" collapsed="false">
      <c r="A22" s="2" t="s">
        <v>151</v>
      </c>
      <c r="B22" s="2" t="s">
        <v>21</v>
      </c>
      <c r="C22" s="2" t="s">
        <v>22</v>
      </c>
      <c r="D22" s="3" t="n">
        <v>5</v>
      </c>
      <c r="E22" s="2" t="str">
        <f aca="false">B22&amp;" Mastery "&amp;INDEX(Tiers!$B$2:$B$6,MATCH(D22,Tiers!$A$2:$A$6,0))</f>
        <v>Fire Mastery 900</v>
      </c>
      <c r="F22" s="4" t="s">
        <v>152</v>
      </c>
      <c r="G22" s="2" t="s">
        <v>47</v>
      </c>
      <c r="H22" s="2" t="s">
        <v>153</v>
      </c>
      <c r="I22" s="2" t="s">
        <v>26</v>
      </c>
      <c r="J22" s="5" t="s">
        <v>154</v>
      </c>
      <c r="K22" s="2" t="s">
        <v>28</v>
      </c>
      <c r="L22" s="2" t="s">
        <v>155</v>
      </c>
      <c r="M22" s="4" t="s">
        <v>50</v>
      </c>
      <c r="N22" s="2" t="s">
        <v>51</v>
      </c>
      <c r="O22" s="6" t="n">
        <v>120</v>
      </c>
      <c r="P22" s="6" t="n">
        <v>50</v>
      </c>
      <c r="Q22" s="6" t="n">
        <v>10</v>
      </c>
      <c r="R22" s="6" t="n">
        <v>200</v>
      </c>
      <c r="S22" s="2" t="s">
        <v>150</v>
      </c>
      <c r="T22" s="2"/>
    </row>
    <row r="23" customFormat="false" ht="39.55" hidden="false" customHeight="false" outlineLevel="0" collapsed="false">
      <c r="A23" s="7" t="s">
        <v>156</v>
      </c>
      <c r="B23" s="7" t="s">
        <v>157</v>
      </c>
      <c r="C23" s="7" t="s">
        <v>158</v>
      </c>
      <c r="D23" s="8" t="n">
        <v>1</v>
      </c>
      <c r="E23" s="7" t="str">
        <f aca="false">B23&amp;" Mastery "&amp;INDEX(Tiers!$B$2:$B$6,MATCH(D23,Tiers!$A$2:$A$6,0))</f>
        <v>Earth Mastery 0</v>
      </c>
      <c r="F23" s="9" t="s">
        <v>159</v>
      </c>
      <c r="G23" s="7" t="s">
        <v>24</v>
      </c>
      <c r="H23" s="7" t="s">
        <v>25</v>
      </c>
      <c r="I23" s="7" t="s">
        <v>26</v>
      </c>
      <c r="J23" s="10" t="s">
        <v>160</v>
      </c>
      <c r="K23" s="7" t="s">
        <v>161</v>
      </c>
      <c r="L23" s="7" t="s">
        <v>162</v>
      </c>
      <c r="M23" s="9" t="s">
        <v>43</v>
      </c>
      <c r="N23" s="7" t="s">
        <v>163</v>
      </c>
      <c r="O23" s="11" t="n">
        <v>3</v>
      </c>
      <c r="P23" s="11" t="n">
        <v>5</v>
      </c>
      <c r="Q23" s="11" t="n">
        <v>0.2</v>
      </c>
      <c r="R23" s="11" t="n">
        <v>50</v>
      </c>
      <c r="S23" s="7" t="s">
        <v>164</v>
      </c>
      <c r="T23" s="7"/>
    </row>
    <row r="24" customFormat="false" ht="26.85" hidden="false" customHeight="false" outlineLevel="0" collapsed="false">
      <c r="A24" s="7" t="s">
        <v>165</v>
      </c>
      <c r="B24" s="7" t="s">
        <v>157</v>
      </c>
      <c r="C24" s="7" t="s">
        <v>158</v>
      </c>
      <c r="D24" s="8" t="n">
        <v>1</v>
      </c>
      <c r="E24" s="7" t="str">
        <f aca="false">B24&amp;" Mastery "&amp;INDEX(Tiers!$B$2:$B$6,MATCH(D24,Tiers!$A$2:$A$6,0))</f>
        <v>Earth Mastery 0</v>
      </c>
      <c r="F24" s="9" t="s">
        <v>166</v>
      </c>
      <c r="G24" s="7" t="s">
        <v>47</v>
      </c>
      <c r="H24" s="7" t="s">
        <v>25</v>
      </c>
      <c r="I24" s="7" t="s">
        <v>26</v>
      </c>
      <c r="J24" s="10" t="s">
        <v>167</v>
      </c>
      <c r="K24" s="7" t="s">
        <v>168</v>
      </c>
      <c r="L24" s="7" t="s">
        <v>169</v>
      </c>
      <c r="M24" s="9" t="s">
        <v>50</v>
      </c>
      <c r="N24" s="7" t="s">
        <v>51</v>
      </c>
      <c r="O24" s="11" t="n">
        <v>20</v>
      </c>
      <c r="P24" s="11" t="n">
        <v>5</v>
      </c>
      <c r="Q24" s="11" t="n">
        <v>0.4</v>
      </c>
      <c r="R24" s="11" t="n">
        <v>50</v>
      </c>
      <c r="S24" s="7" t="s">
        <v>170</v>
      </c>
      <c r="T24" s="7"/>
    </row>
    <row r="25" customFormat="false" ht="26.85" hidden="false" customHeight="false" outlineLevel="0" collapsed="false">
      <c r="A25" s="7" t="s">
        <v>171</v>
      </c>
      <c r="B25" s="7" t="s">
        <v>157</v>
      </c>
      <c r="C25" s="7" t="s">
        <v>172</v>
      </c>
      <c r="D25" s="8" t="n">
        <v>1</v>
      </c>
      <c r="E25" s="7" t="str">
        <f aca="false">B25&amp;" Mastery "&amp;INDEX(Tiers!$B$2:$B$6,MATCH(D25,Tiers!$A$2:$A$6,0))</f>
        <v>Earth Mastery 0</v>
      </c>
      <c r="F25" s="9" t="s">
        <v>173</v>
      </c>
      <c r="G25" s="7" t="s">
        <v>174</v>
      </c>
      <c r="H25" s="7" t="s">
        <v>25</v>
      </c>
      <c r="I25" s="7" t="s">
        <v>26</v>
      </c>
      <c r="J25" s="10" t="s">
        <v>175</v>
      </c>
      <c r="K25" s="7" t="s">
        <v>176</v>
      </c>
      <c r="L25" s="7" t="s">
        <v>177</v>
      </c>
      <c r="M25" s="9" t="s">
        <v>58</v>
      </c>
      <c r="N25" s="7" t="s">
        <v>178</v>
      </c>
      <c r="O25" s="11" t="n">
        <v>6</v>
      </c>
      <c r="P25" s="11" t="n">
        <v>5</v>
      </c>
      <c r="Q25" s="11" t="n">
        <v>0.2</v>
      </c>
      <c r="R25" s="11" t="n">
        <v>50</v>
      </c>
      <c r="S25" s="7" t="s">
        <v>164</v>
      </c>
      <c r="T25" s="7"/>
    </row>
    <row r="26" customFormat="false" ht="26.85" hidden="false" customHeight="false" outlineLevel="0" collapsed="false">
      <c r="A26" s="7" t="s">
        <v>179</v>
      </c>
      <c r="B26" s="7" t="s">
        <v>157</v>
      </c>
      <c r="C26" s="7" t="s">
        <v>158</v>
      </c>
      <c r="D26" s="8" t="n">
        <v>1</v>
      </c>
      <c r="E26" s="7" t="str">
        <f aca="false">B26&amp;" Mastery "&amp;INDEX(Tiers!$B$2:$B$6,MATCH(D26,Tiers!$A$2:$A$6,0))</f>
        <v>Earth Mastery 0</v>
      </c>
      <c r="F26" s="9" t="s">
        <v>180</v>
      </c>
      <c r="G26" s="7" t="s">
        <v>181</v>
      </c>
      <c r="H26" s="7" t="s">
        <v>25</v>
      </c>
      <c r="I26" s="7" t="s">
        <v>26</v>
      </c>
      <c r="J26" s="10" t="s">
        <v>182</v>
      </c>
      <c r="K26" s="7" t="s">
        <v>168</v>
      </c>
      <c r="L26" s="7" t="s">
        <v>183</v>
      </c>
      <c r="M26" s="9" t="s">
        <v>50</v>
      </c>
      <c r="N26" s="7" t="s">
        <v>184</v>
      </c>
      <c r="O26" s="11" t="n">
        <v>10</v>
      </c>
      <c r="P26" s="11" t="n">
        <v>5</v>
      </c>
      <c r="Q26" s="11" t="n">
        <v>0.4</v>
      </c>
      <c r="R26" s="11" t="n">
        <v>50</v>
      </c>
      <c r="S26" s="7" t="s">
        <v>170</v>
      </c>
      <c r="T26" s="7"/>
    </row>
    <row r="27" customFormat="false" ht="26.85" hidden="false" customHeight="false" outlineLevel="0" collapsed="false">
      <c r="A27" s="7" t="s">
        <v>185</v>
      </c>
      <c r="B27" s="7" t="s">
        <v>157</v>
      </c>
      <c r="C27" s="7" t="s">
        <v>172</v>
      </c>
      <c r="D27" s="8" t="n">
        <v>2</v>
      </c>
      <c r="E27" s="7" t="str">
        <f aca="false">B27&amp;" Mastery "&amp;INDEX(Tiers!$B$2:$B$6,MATCH(D27,Tiers!$A$2:$A$6,0))</f>
        <v>Earth Mastery 150</v>
      </c>
      <c r="F27" s="9" t="s">
        <v>186</v>
      </c>
      <c r="G27" s="7" t="s">
        <v>174</v>
      </c>
      <c r="H27" s="7" t="s">
        <v>173</v>
      </c>
      <c r="I27" s="7" t="s">
        <v>26</v>
      </c>
      <c r="J27" s="10" t="s">
        <v>187</v>
      </c>
      <c r="K27" s="7" t="s">
        <v>176</v>
      </c>
      <c r="L27" s="7" t="s">
        <v>188</v>
      </c>
      <c r="M27" s="9" t="s">
        <v>58</v>
      </c>
      <c r="N27" s="7" t="s">
        <v>189</v>
      </c>
      <c r="O27" s="11" t="n">
        <v>15</v>
      </c>
      <c r="P27" s="11" t="n">
        <v>10</v>
      </c>
      <c r="Q27" s="11" t="n">
        <v>0.6</v>
      </c>
      <c r="R27" s="11" t="n">
        <v>70</v>
      </c>
      <c r="S27" s="7" t="s">
        <v>190</v>
      </c>
      <c r="T27" s="7"/>
    </row>
    <row r="28" customFormat="false" ht="26.85" hidden="false" customHeight="false" outlineLevel="0" collapsed="false">
      <c r="A28" s="7" t="s">
        <v>191</v>
      </c>
      <c r="B28" s="7" t="s">
        <v>157</v>
      </c>
      <c r="C28" s="7" t="s">
        <v>172</v>
      </c>
      <c r="D28" s="8" t="n">
        <v>2</v>
      </c>
      <c r="E28" s="7" t="str">
        <f aca="false">B28&amp;" Mastery "&amp;INDEX(Tiers!$B$2:$B$6,MATCH(D28,Tiers!$A$2:$A$6,0))</f>
        <v>Earth Mastery 150</v>
      </c>
      <c r="F28" s="9" t="s">
        <v>192</v>
      </c>
      <c r="G28" s="7" t="s">
        <v>193</v>
      </c>
      <c r="H28" s="7" t="s">
        <v>173</v>
      </c>
      <c r="I28" s="7" t="s">
        <v>26</v>
      </c>
      <c r="J28" s="10" t="s">
        <v>194</v>
      </c>
      <c r="K28" s="7" t="s">
        <v>176</v>
      </c>
      <c r="L28" s="7" t="s">
        <v>195</v>
      </c>
      <c r="M28" s="9" t="s">
        <v>58</v>
      </c>
      <c r="N28" s="7" t="s">
        <v>196</v>
      </c>
      <c r="O28" s="11" t="n">
        <v>10</v>
      </c>
      <c r="P28" s="11" t="n">
        <v>10</v>
      </c>
      <c r="Q28" s="11" t="n">
        <v>0.6</v>
      </c>
      <c r="R28" s="11" t="n">
        <v>70</v>
      </c>
      <c r="S28" s="7" t="s">
        <v>190</v>
      </c>
      <c r="T28" s="7"/>
    </row>
    <row r="29" customFormat="false" ht="26.85" hidden="false" customHeight="false" outlineLevel="0" collapsed="false">
      <c r="A29" s="7" t="s">
        <v>197</v>
      </c>
      <c r="B29" s="7" t="s">
        <v>157</v>
      </c>
      <c r="C29" s="7" t="s">
        <v>158</v>
      </c>
      <c r="D29" s="8" t="n">
        <v>2</v>
      </c>
      <c r="E29" s="7" t="str">
        <f aca="false">B29&amp;" Mastery "&amp;INDEX(Tiers!$B$2:$B$6,MATCH(D29,Tiers!$A$2:$A$6,0))</f>
        <v>Earth Mastery 150</v>
      </c>
      <c r="F29" s="9" t="s">
        <v>198</v>
      </c>
      <c r="G29" s="7" t="s">
        <v>199</v>
      </c>
      <c r="H29" s="7" t="s">
        <v>166</v>
      </c>
      <c r="I29" s="7" t="s">
        <v>26</v>
      </c>
      <c r="J29" s="10" t="s">
        <v>200</v>
      </c>
      <c r="K29" s="7" t="s">
        <v>168</v>
      </c>
      <c r="L29" s="7" t="s">
        <v>201</v>
      </c>
      <c r="M29" s="9" t="s">
        <v>50</v>
      </c>
      <c r="N29" s="7" t="s">
        <v>51</v>
      </c>
      <c r="O29" s="11" t="n">
        <v>18</v>
      </c>
      <c r="P29" s="11" t="n">
        <v>10</v>
      </c>
      <c r="Q29" s="11" t="n">
        <v>0.6</v>
      </c>
      <c r="R29" s="11" t="n">
        <v>70</v>
      </c>
      <c r="S29" s="7" t="s">
        <v>190</v>
      </c>
      <c r="T29" s="7"/>
    </row>
    <row r="30" customFormat="false" ht="26.85" hidden="false" customHeight="false" outlineLevel="0" collapsed="false">
      <c r="A30" s="7" t="s">
        <v>202</v>
      </c>
      <c r="B30" s="7" t="s">
        <v>157</v>
      </c>
      <c r="C30" s="7" t="s">
        <v>158</v>
      </c>
      <c r="D30" s="8" t="n">
        <v>2</v>
      </c>
      <c r="E30" s="7" t="str">
        <f aca="false">B30&amp;" Mastery "&amp;INDEX(Tiers!$B$2:$B$6,MATCH(D30,Tiers!$A$2:$A$6,0))</f>
        <v>Earth Mastery 150</v>
      </c>
      <c r="F30" s="9" t="s">
        <v>203</v>
      </c>
      <c r="G30" s="7" t="s">
        <v>181</v>
      </c>
      <c r="H30" s="7" t="s">
        <v>180</v>
      </c>
      <c r="I30" s="7" t="s">
        <v>26</v>
      </c>
      <c r="J30" s="10" t="s">
        <v>204</v>
      </c>
      <c r="K30" s="7" t="s">
        <v>168</v>
      </c>
      <c r="L30" s="7" t="s">
        <v>205</v>
      </c>
      <c r="M30" s="9" t="s">
        <v>50</v>
      </c>
      <c r="N30" s="7" t="s">
        <v>206</v>
      </c>
      <c r="O30" s="11" t="n">
        <v>15</v>
      </c>
      <c r="P30" s="11" t="n">
        <v>10</v>
      </c>
      <c r="Q30" s="11" t="n">
        <v>0.6</v>
      </c>
      <c r="R30" s="11" t="n">
        <v>70</v>
      </c>
      <c r="S30" s="7" t="s">
        <v>190</v>
      </c>
      <c r="T30" s="7"/>
    </row>
    <row r="31" customFormat="false" ht="26.85" hidden="false" customHeight="false" outlineLevel="0" collapsed="false">
      <c r="A31" s="7" t="s">
        <v>207</v>
      </c>
      <c r="B31" s="7" t="s">
        <v>157</v>
      </c>
      <c r="C31" s="7" t="s">
        <v>172</v>
      </c>
      <c r="D31" s="8" t="n">
        <v>2</v>
      </c>
      <c r="E31" s="7" t="str">
        <f aca="false">B31&amp;" Mastery "&amp;INDEX(Tiers!$B$2:$B$6,MATCH(D31,Tiers!$A$2:$A$6,0))</f>
        <v>Earth Mastery 150</v>
      </c>
      <c r="F31" s="9" t="s">
        <v>208</v>
      </c>
      <c r="G31" s="7" t="s">
        <v>174</v>
      </c>
      <c r="H31" s="7" t="s">
        <v>173</v>
      </c>
      <c r="I31" s="7" t="s">
        <v>26</v>
      </c>
      <c r="J31" s="10" t="s">
        <v>209</v>
      </c>
      <c r="K31" s="7" t="s">
        <v>176</v>
      </c>
      <c r="L31" s="7" t="s">
        <v>210</v>
      </c>
      <c r="M31" s="9" t="s">
        <v>58</v>
      </c>
      <c r="N31" s="7" t="s">
        <v>211</v>
      </c>
      <c r="O31" s="11" t="n">
        <v>12</v>
      </c>
      <c r="P31" s="11" t="n">
        <v>10</v>
      </c>
      <c r="Q31" s="11" t="n">
        <v>0.6</v>
      </c>
      <c r="R31" s="11" t="n">
        <v>70</v>
      </c>
      <c r="S31" s="7" t="s">
        <v>190</v>
      </c>
      <c r="T31" s="7"/>
    </row>
    <row r="32" customFormat="false" ht="26.85" hidden="false" customHeight="false" outlineLevel="0" collapsed="false">
      <c r="A32" s="7" t="s">
        <v>212</v>
      </c>
      <c r="B32" s="7" t="s">
        <v>157</v>
      </c>
      <c r="C32" s="7" t="s">
        <v>158</v>
      </c>
      <c r="D32" s="8" t="n">
        <v>3</v>
      </c>
      <c r="E32" s="7" t="str">
        <f aca="false">B32&amp;" Mastery "&amp;INDEX(Tiers!$B$2:$B$6,MATCH(D32,Tiers!$A$2:$A$6,0))</f>
        <v>Earth Mastery 350</v>
      </c>
      <c r="F32" s="9" t="s">
        <v>213</v>
      </c>
      <c r="G32" s="7" t="s">
        <v>214</v>
      </c>
      <c r="H32" s="7" t="s">
        <v>215</v>
      </c>
      <c r="I32" s="7" t="s">
        <v>26</v>
      </c>
      <c r="J32" s="10" t="s">
        <v>216</v>
      </c>
      <c r="K32" s="7" t="s">
        <v>168</v>
      </c>
      <c r="L32" s="7" t="s">
        <v>217</v>
      </c>
      <c r="M32" s="9" t="s">
        <v>50</v>
      </c>
      <c r="N32" s="7" t="s">
        <v>51</v>
      </c>
      <c r="O32" s="11" t="n">
        <v>30</v>
      </c>
      <c r="P32" s="11" t="n">
        <v>15</v>
      </c>
      <c r="Q32" s="11" t="n">
        <v>1.6</v>
      </c>
      <c r="R32" s="11" t="n">
        <v>100</v>
      </c>
      <c r="S32" s="7" t="s">
        <v>218</v>
      </c>
      <c r="T32" s="7"/>
    </row>
    <row r="33" customFormat="false" ht="26.85" hidden="false" customHeight="false" outlineLevel="0" collapsed="false">
      <c r="A33" s="7" t="s">
        <v>219</v>
      </c>
      <c r="B33" s="7" t="s">
        <v>157</v>
      </c>
      <c r="C33" s="7" t="s">
        <v>172</v>
      </c>
      <c r="D33" s="8" t="n">
        <v>3</v>
      </c>
      <c r="E33" s="7" t="str">
        <f aca="false">B33&amp;" Mastery "&amp;INDEX(Tiers!$B$2:$B$6,MATCH(D33,Tiers!$A$2:$A$6,0))</f>
        <v>Earth Mastery 350</v>
      </c>
      <c r="F33" s="9" t="s">
        <v>220</v>
      </c>
      <c r="G33" s="7" t="s">
        <v>221</v>
      </c>
      <c r="H33" s="7" t="s">
        <v>192</v>
      </c>
      <c r="I33" s="7" t="s">
        <v>26</v>
      </c>
      <c r="J33" s="10" t="s">
        <v>222</v>
      </c>
      <c r="K33" s="7" t="s">
        <v>161</v>
      </c>
      <c r="L33" s="7" t="s">
        <v>223</v>
      </c>
      <c r="M33" s="9" t="s">
        <v>58</v>
      </c>
      <c r="N33" s="7" t="s">
        <v>224</v>
      </c>
      <c r="O33" s="11" t="n">
        <v>20</v>
      </c>
      <c r="P33" s="11" t="n">
        <v>15</v>
      </c>
      <c r="Q33" s="11" t="n">
        <v>0.8</v>
      </c>
      <c r="R33" s="11" t="n">
        <v>100</v>
      </c>
      <c r="S33" s="7" t="s">
        <v>225</v>
      </c>
      <c r="T33" s="7"/>
    </row>
    <row r="34" customFormat="false" ht="26.85" hidden="false" customHeight="false" outlineLevel="0" collapsed="false">
      <c r="A34" s="7" t="s">
        <v>226</v>
      </c>
      <c r="B34" s="7" t="s">
        <v>157</v>
      </c>
      <c r="C34" s="7" t="s">
        <v>172</v>
      </c>
      <c r="D34" s="8" t="n">
        <v>3</v>
      </c>
      <c r="E34" s="7" t="str">
        <f aca="false">B34&amp;" Mastery "&amp;INDEX(Tiers!$B$2:$B$6,MATCH(D34,Tiers!$A$2:$A$6,0))</f>
        <v>Earth Mastery 350</v>
      </c>
      <c r="F34" s="9" t="s">
        <v>227</v>
      </c>
      <c r="G34" s="7" t="s">
        <v>174</v>
      </c>
      <c r="H34" s="7" t="s">
        <v>192</v>
      </c>
      <c r="I34" s="7" t="s">
        <v>26</v>
      </c>
      <c r="J34" s="10" t="s">
        <v>228</v>
      </c>
      <c r="K34" s="7" t="s">
        <v>176</v>
      </c>
      <c r="L34" s="7" t="s">
        <v>229</v>
      </c>
      <c r="M34" s="9" t="s">
        <v>58</v>
      </c>
      <c r="N34" s="7" t="s">
        <v>230</v>
      </c>
      <c r="O34" s="11" t="n">
        <v>18</v>
      </c>
      <c r="P34" s="11" t="n">
        <v>15</v>
      </c>
      <c r="Q34" s="11" t="n">
        <v>0.8</v>
      </c>
      <c r="R34" s="11" t="n">
        <v>100</v>
      </c>
      <c r="S34" s="7" t="s">
        <v>225</v>
      </c>
      <c r="T34" s="7"/>
    </row>
    <row r="35" customFormat="false" ht="26.85" hidden="false" customHeight="false" outlineLevel="0" collapsed="false">
      <c r="A35" s="7" t="s">
        <v>231</v>
      </c>
      <c r="B35" s="7" t="s">
        <v>157</v>
      </c>
      <c r="C35" s="7" t="s">
        <v>158</v>
      </c>
      <c r="D35" s="8" t="n">
        <v>3</v>
      </c>
      <c r="E35" s="7" t="str">
        <f aca="false">B35&amp;" Mastery "&amp;INDEX(Tiers!$B$2:$B$6,MATCH(D35,Tiers!$A$2:$A$6,0))</f>
        <v>Earth Mastery 350</v>
      </c>
      <c r="F35" s="9" t="s">
        <v>232</v>
      </c>
      <c r="G35" s="7" t="s">
        <v>233</v>
      </c>
      <c r="H35" s="7" t="s">
        <v>180</v>
      </c>
      <c r="I35" s="7" t="s">
        <v>26</v>
      </c>
      <c r="J35" s="10" t="s">
        <v>234</v>
      </c>
      <c r="K35" s="7" t="s">
        <v>176</v>
      </c>
      <c r="L35" s="7" t="s">
        <v>235</v>
      </c>
      <c r="M35" s="9" t="s">
        <v>50</v>
      </c>
      <c r="N35" s="7" t="s">
        <v>236</v>
      </c>
      <c r="O35" s="11" t="n">
        <v>30</v>
      </c>
      <c r="P35" s="11" t="n">
        <v>15</v>
      </c>
      <c r="Q35" s="11" t="n">
        <v>1.6</v>
      </c>
      <c r="R35" s="11" t="n">
        <v>100</v>
      </c>
      <c r="S35" s="7" t="s">
        <v>218</v>
      </c>
      <c r="T35" s="7"/>
    </row>
    <row r="36" customFormat="false" ht="26.85" hidden="false" customHeight="false" outlineLevel="0" collapsed="false">
      <c r="A36" s="7" t="s">
        <v>237</v>
      </c>
      <c r="B36" s="7" t="s">
        <v>157</v>
      </c>
      <c r="C36" s="7" t="s">
        <v>158</v>
      </c>
      <c r="D36" s="8" t="n">
        <v>3</v>
      </c>
      <c r="E36" s="7" t="str">
        <f aca="false">B36&amp;" Mastery "&amp;INDEX(Tiers!$B$2:$B$6,MATCH(D36,Tiers!$A$2:$A$6,0))</f>
        <v>Earth Mastery 350</v>
      </c>
      <c r="F36" s="9" t="s">
        <v>238</v>
      </c>
      <c r="G36" s="7" t="s">
        <v>47</v>
      </c>
      <c r="H36" s="7" t="s">
        <v>198</v>
      </c>
      <c r="I36" s="7" t="s">
        <v>26</v>
      </c>
      <c r="J36" s="10" t="s">
        <v>239</v>
      </c>
      <c r="K36" s="7" t="s">
        <v>168</v>
      </c>
      <c r="L36" s="7" t="s">
        <v>240</v>
      </c>
      <c r="M36" s="9" t="s">
        <v>50</v>
      </c>
      <c r="N36" s="7" t="s">
        <v>51</v>
      </c>
      <c r="O36" s="11" t="n">
        <v>40</v>
      </c>
      <c r="P36" s="11" t="n">
        <v>15</v>
      </c>
      <c r="Q36" s="11" t="n">
        <v>1.6</v>
      </c>
      <c r="R36" s="11" t="n">
        <v>100</v>
      </c>
      <c r="S36" s="7" t="s">
        <v>218</v>
      </c>
      <c r="T36" s="7"/>
    </row>
    <row r="37" customFormat="false" ht="26.85" hidden="false" customHeight="false" outlineLevel="0" collapsed="false">
      <c r="A37" s="7" t="s">
        <v>241</v>
      </c>
      <c r="B37" s="7" t="s">
        <v>157</v>
      </c>
      <c r="C37" s="7" t="s">
        <v>242</v>
      </c>
      <c r="D37" s="8" t="n">
        <v>4</v>
      </c>
      <c r="E37" s="7" t="str">
        <f aca="false">B37&amp;" Mastery "&amp;INDEX(Tiers!$B$2:$B$6,MATCH(D37,Tiers!$A$2:$A$6,0))</f>
        <v>Earth Mastery 600</v>
      </c>
      <c r="F37" s="9" t="s">
        <v>243</v>
      </c>
      <c r="G37" s="7" t="s">
        <v>244</v>
      </c>
      <c r="H37" s="7" t="s">
        <v>238</v>
      </c>
      <c r="I37" s="7" t="s">
        <v>26</v>
      </c>
      <c r="J37" s="10" t="s">
        <v>245</v>
      </c>
      <c r="K37" s="7" t="s">
        <v>161</v>
      </c>
      <c r="L37" s="7" t="s">
        <v>246</v>
      </c>
      <c r="M37" s="9" t="s">
        <v>30</v>
      </c>
      <c r="N37" s="7" t="s">
        <v>247</v>
      </c>
      <c r="O37" s="11" t="n">
        <v>20</v>
      </c>
      <c r="P37" s="11" t="n">
        <v>25</v>
      </c>
      <c r="Q37" s="11" t="n">
        <v>1</v>
      </c>
      <c r="R37" s="11" t="n">
        <v>150</v>
      </c>
      <c r="S37" s="7" t="s">
        <v>248</v>
      </c>
      <c r="T37" s="7"/>
    </row>
    <row r="38" customFormat="false" ht="26.85" hidden="false" customHeight="false" outlineLevel="0" collapsed="false">
      <c r="A38" s="7" t="s">
        <v>249</v>
      </c>
      <c r="B38" s="7" t="s">
        <v>157</v>
      </c>
      <c r="C38" s="7" t="s">
        <v>242</v>
      </c>
      <c r="D38" s="8" t="n">
        <v>4</v>
      </c>
      <c r="E38" s="7" t="str">
        <f aca="false">B38&amp;" Mastery "&amp;INDEX(Tiers!$B$2:$B$6,MATCH(D38,Tiers!$A$2:$A$6,0))</f>
        <v>Earth Mastery 600</v>
      </c>
      <c r="F38" s="9" t="s">
        <v>250</v>
      </c>
      <c r="G38" s="7" t="s">
        <v>251</v>
      </c>
      <c r="H38" s="7" t="s">
        <v>252</v>
      </c>
      <c r="I38" s="7" t="s">
        <v>26</v>
      </c>
      <c r="J38" s="10" t="s">
        <v>253</v>
      </c>
      <c r="K38" s="7" t="s">
        <v>176</v>
      </c>
      <c r="L38" s="7" t="s">
        <v>254</v>
      </c>
      <c r="M38" s="9" t="s">
        <v>58</v>
      </c>
      <c r="N38" s="7" t="s">
        <v>255</v>
      </c>
      <c r="O38" s="11" t="n">
        <v>30</v>
      </c>
      <c r="P38" s="11" t="n">
        <v>25</v>
      </c>
      <c r="Q38" s="11" t="n">
        <v>2</v>
      </c>
      <c r="R38" s="11" t="n">
        <v>150</v>
      </c>
      <c r="S38" s="7" t="s">
        <v>256</v>
      </c>
      <c r="T38" s="7"/>
    </row>
    <row r="39" customFormat="false" ht="26.85" hidden="false" customHeight="false" outlineLevel="0" collapsed="false">
      <c r="A39" s="7" t="s">
        <v>257</v>
      </c>
      <c r="B39" s="7" t="s">
        <v>157</v>
      </c>
      <c r="C39" s="7" t="s">
        <v>242</v>
      </c>
      <c r="D39" s="8" t="n">
        <v>4</v>
      </c>
      <c r="E39" s="7" t="str">
        <f aca="false">B39&amp;" Mastery "&amp;INDEX(Tiers!$B$2:$B$6,MATCH(D39,Tiers!$A$2:$A$6,0))</f>
        <v>Earth Mastery 600</v>
      </c>
      <c r="F39" s="9" t="s">
        <v>258</v>
      </c>
      <c r="G39" s="7" t="s">
        <v>259</v>
      </c>
      <c r="H39" s="7" t="s">
        <v>260</v>
      </c>
      <c r="I39" s="7" t="s">
        <v>26</v>
      </c>
      <c r="J39" s="10" t="s">
        <v>261</v>
      </c>
      <c r="K39" s="7" t="s">
        <v>262</v>
      </c>
      <c r="L39" s="7" t="s">
        <v>263</v>
      </c>
      <c r="M39" s="9" t="s">
        <v>58</v>
      </c>
      <c r="N39" s="7" t="s">
        <v>264</v>
      </c>
      <c r="O39" s="11" t="n">
        <v>35</v>
      </c>
      <c r="P39" s="11" t="n">
        <v>25</v>
      </c>
      <c r="Q39" s="11" t="n">
        <v>2</v>
      </c>
      <c r="R39" s="11" t="n">
        <v>150</v>
      </c>
      <c r="S39" s="7" t="s">
        <v>256</v>
      </c>
      <c r="T39" s="7"/>
    </row>
    <row r="40" customFormat="false" ht="26.85" hidden="false" customHeight="false" outlineLevel="0" collapsed="false">
      <c r="A40" s="7" t="s">
        <v>265</v>
      </c>
      <c r="B40" s="7" t="s">
        <v>157</v>
      </c>
      <c r="C40" s="7" t="s">
        <v>158</v>
      </c>
      <c r="D40" s="8" t="n">
        <v>4</v>
      </c>
      <c r="E40" s="7" t="str">
        <f aca="false">B40&amp;" Mastery "&amp;INDEX(Tiers!$B$2:$B$6,MATCH(D40,Tiers!$A$2:$A$6,0))</f>
        <v>Earth Mastery 600</v>
      </c>
      <c r="F40" s="9" t="s">
        <v>266</v>
      </c>
      <c r="G40" s="7" t="s">
        <v>267</v>
      </c>
      <c r="H40" s="7" t="s">
        <v>213</v>
      </c>
      <c r="I40" s="7" t="s">
        <v>26</v>
      </c>
      <c r="J40" s="10" t="s">
        <v>268</v>
      </c>
      <c r="K40" s="7" t="s">
        <v>168</v>
      </c>
      <c r="L40" s="7" t="s">
        <v>269</v>
      </c>
      <c r="M40" s="9" t="s">
        <v>50</v>
      </c>
      <c r="N40" s="7" t="s">
        <v>270</v>
      </c>
      <c r="O40" s="11" t="n">
        <v>60</v>
      </c>
      <c r="P40" s="11" t="n">
        <v>25</v>
      </c>
      <c r="Q40" s="11" t="n">
        <v>2</v>
      </c>
      <c r="R40" s="11" t="n">
        <v>150</v>
      </c>
      <c r="S40" s="7" t="s">
        <v>256</v>
      </c>
      <c r="T40" s="7"/>
    </row>
    <row r="41" customFormat="false" ht="39.55" hidden="false" customHeight="false" outlineLevel="0" collapsed="false">
      <c r="A41" s="7" t="s">
        <v>271</v>
      </c>
      <c r="B41" s="7" t="s">
        <v>157</v>
      </c>
      <c r="C41" s="7" t="s">
        <v>158</v>
      </c>
      <c r="D41" s="8" t="n">
        <v>5</v>
      </c>
      <c r="E41" s="7" t="str">
        <f aca="false">B41&amp;" Mastery "&amp;INDEX(Tiers!$B$2:$B$6,MATCH(D41,Tiers!$A$2:$A$6,0))</f>
        <v>Earth Mastery 900</v>
      </c>
      <c r="F41" s="9" t="s">
        <v>272</v>
      </c>
      <c r="G41" s="7" t="s">
        <v>267</v>
      </c>
      <c r="H41" s="7" t="s">
        <v>273</v>
      </c>
      <c r="I41" s="7" t="s">
        <v>26</v>
      </c>
      <c r="J41" s="10" t="s">
        <v>274</v>
      </c>
      <c r="K41" s="7" t="s">
        <v>168</v>
      </c>
      <c r="L41" s="7" t="s">
        <v>275</v>
      </c>
      <c r="M41" s="9" t="s">
        <v>50</v>
      </c>
      <c r="N41" s="7" t="s">
        <v>276</v>
      </c>
      <c r="O41" s="11" t="n">
        <v>120</v>
      </c>
      <c r="P41" s="11" t="n">
        <v>50</v>
      </c>
      <c r="Q41" s="11" t="n">
        <v>10</v>
      </c>
      <c r="R41" s="11" t="n">
        <v>200</v>
      </c>
      <c r="S41" s="7" t="s">
        <v>277</v>
      </c>
      <c r="T41" s="7"/>
    </row>
    <row r="42" customFormat="false" ht="39.55" hidden="false" customHeight="false" outlineLevel="0" collapsed="false">
      <c r="A42" s="7" t="s">
        <v>278</v>
      </c>
      <c r="B42" s="7" t="s">
        <v>157</v>
      </c>
      <c r="C42" s="7" t="s">
        <v>172</v>
      </c>
      <c r="D42" s="8" t="n">
        <v>5</v>
      </c>
      <c r="E42" s="7" t="str">
        <f aca="false">B42&amp;" Mastery "&amp;INDEX(Tiers!$B$2:$B$6,MATCH(D42,Tiers!$A$2:$A$6,0))</f>
        <v>Earth Mastery 900</v>
      </c>
      <c r="F42" s="9" t="s">
        <v>279</v>
      </c>
      <c r="G42" s="7" t="s">
        <v>280</v>
      </c>
      <c r="H42" s="7" t="s">
        <v>281</v>
      </c>
      <c r="I42" s="7" t="s">
        <v>26</v>
      </c>
      <c r="J42" s="10" t="s">
        <v>282</v>
      </c>
      <c r="K42" s="7" t="s">
        <v>161</v>
      </c>
      <c r="L42" s="7" t="s">
        <v>283</v>
      </c>
      <c r="M42" s="9" t="s">
        <v>58</v>
      </c>
      <c r="N42" s="7" t="s">
        <v>284</v>
      </c>
      <c r="O42" s="11" t="n">
        <v>90</v>
      </c>
      <c r="P42" s="11" t="n">
        <v>50</v>
      </c>
      <c r="Q42" s="11" t="n">
        <v>10</v>
      </c>
      <c r="R42" s="11" t="n">
        <v>200</v>
      </c>
      <c r="S42" s="7" t="s">
        <v>277</v>
      </c>
      <c r="T42" s="7"/>
    </row>
    <row r="43" customFormat="false" ht="26.85" hidden="false" customHeight="false" outlineLevel="0" collapsed="false">
      <c r="A43" s="12" t="s">
        <v>285</v>
      </c>
      <c r="B43" s="12" t="s">
        <v>286</v>
      </c>
      <c r="C43" s="12" t="s">
        <v>287</v>
      </c>
      <c r="D43" s="13" t="n">
        <v>1</v>
      </c>
      <c r="E43" s="12" t="str">
        <f aca="false">B43&amp;" Mastery "&amp;INDEX(Tiers!$B$2:$B$6,MATCH(D43,Tiers!$A$2:$A$6,0))</f>
        <v>Water Mastery 0</v>
      </c>
      <c r="F43" s="14" t="s">
        <v>288</v>
      </c>
      <c r="G43" s="12" t="s">
        <v>289</v>
      </c>
      <c r="H43" s="12" t="s">
        <v>25</v>
      </c>
      <c r="I43" s="12" t="s">
        <v>26</v>
      </c>
      <c r="J43" s="15" t="s">
        <v>290</v>
      </c>
      <c r="K43" s="12" t="s">
        <v>291</v>
      </c>
      <c r="L43" s="12" t="s">
        <v>292</v>
      </c>
      <c r="M43" s="14" t="s">
        <v>30</v>
      </c>
      <c r="N43" s="12" t="s">
        <v>293</v>
      </c>
      <c r="O43" s="16" t="n">
        <v>3</v>
      </c>
      <c r="P43" s="16" t="n">
        <v>5</v>
      </c>
      <c r="Q43" s="16" t="n">
        <v>0.2</v>
      </c>
      <c r="R43" s="16" t="n">
        <v>50</v>
      </c>
      <c r="S43" s="12" t="s">
        <v>294</v>
      </c>
      <c r="T43" s="12"/>
    </row>
    <row r="44" customFormat="false" ht="26.85" hidden="false" customHeight="false" outlineLevel="0" collapsed="false">
      <c r="A44" s="12" t="s">
        <v>295</v>
      </c>
      <c r="B44" s="12" t="s">
        <v>286</v>
      </c>
      <c r="C44" s="12" t="s">
        <v>296</v>
      </c>
      <c r="D44" s="13" t="n">
        <v>1</v>
      </c>
      <c r="E44" s="12" t="str">
        <f aca="false">B44&amp;" Mastery "&amp;INDEX(Tiers!$B$2:$B$6,MATCH(D44,Tiers!$A$2:$A$6,0))</f>
        <v>Water Mastery 0</v>
      </c>
      <c r="F44" s="14" t="s">
        <v>297</v>
      </c>
      <c r="G44" s="12" t="s">
        <v>24</v>
      </c>
      <c r="H44" s="12" t="s">
        <v>25</v>
      </c>
      <c r="I44" s="12" t="s">
        <v>26</v>
      </c>
      <c r="J44" s="15" t="s">
        <v>298</v>
      </c>
      <c r="K44" s="12" t="s">
        <v>291</v>
      </c>
      <c r="L44" s="12" t="s">
        <v>299</v>
      </c>
      <c r="M44" s="14" t="s">
        <v>30</v>
      </c>
      <c r="N44" s="12" t="s">
        <v>300</v>
      </c>
      <c r="O44" s="16" t="n">
        <v>2</v>
      </c>
      <c r="P44" s="16" t="n">
        <v>5</v>
      </c>
      <c r="Q44" s="16" t="n">
        <v>0.2</v>
      </c>
      <c r="R44" s="16" t="n">
        <v>50</v>
      </c>
      <c r="S44" s="12" t="s">
        <v>294</v>
      </c>
      <c r="T44" s="12"/>
    </row>
    <row r="45" customFormat="false" ht="26.85" hidden="false" customHeight="false" outlineLevel="0" collapsed="false">
      <c r="A45" s="12" t="s">
        <v>301</v>
      </c>
      <c r="B45" s="12" t="s">
        <v>286</v>
      </c>
      <c r="C45" s="12" t="s">
        <v>302</v>
      </c>
      <c r="D45" s="13" t="n">
        <v>1</v>
      </c>
      <c r="E45" s="12" t="str">
        <f aca="false">B45&amp;" Mastery "&amp;INDEX(Tiers!$B$2:$B$6,MATCH(D45,Tiers!$A$2:$A$6,0))</f>
        <v>Water Mastery 0</v>
      </c>
      <c r="F45" s="14" t="s">
        <v>303</v>
      </c>
      <c r="G45" s="12" t="s">
        <v>304</v>
      </c>
      <c r="H45" s="12" t="s">
        <v>25</v>
      </c>
      <c r="I45" s="12" t="s">
        <v>26</v>
      </c>
      <c r="J45" s="15" t="s">
        <v>305</v>
      </c>
      <c r="K45" s="12" t="s">
        <v>291</v>
      </c>
      <c r="L45" s="12" t="s">
        <v>306</v>
      </c>
      <c r="M45" s="14" t="s">
        <v>30</v>
      </c>
      <c r="N45" s="12" t="s">
        <v>307</v>
      </c>
      <c r="O45" s="16" t="n">
        <v>20</v>
      </c>
      <c r="P45" s="16" t="n">
        <v>5</v>
      </c>
      <c r="Q45" s="16" t="n">
        <v>0.4</v>
      </c>
      <c r="R45" s="16" t="n">
        <v>50</v>
      </c>
      <c r="S45" s="12" t="s">
        <v>308</v>
      </c>
      <c r="T45" s="12"/>
    </row>
    <row r="46" customFormat="false" ht="26.85" hidden="false" customHeight="false" outlineLevel="0" collapsed="false">
      <c r="A46" s="12" t="s">
        <v>309</v>
      </c>
      <c r="B46" s="12" t="s">
        <v>286</v>
      </c>
      <c r="C46" s="12" t="s">
        <v>310</v>
      </c>
      <c r="D46" s="13" t="n">
        <v>1</v>
      </c>
      <c r="E46" s="12" t="str">
        <f aca="false">B46&amp;" Mastery "&amp;INDEX(Tiers!$B$2:$B$6,MATCH(D46,Tiers!$A$2:$A$6,0))</f>
        <v>Water Mastery 0</v>
      </c>
      <c r="F46" s="14" t="s">
        <v>311</v>
      </c>
      <c r="G46" s="12" t="s">
        <v>312</v>
      </c>
      <c r="H46" s="12" t="s">
        <v>25</v>
      </c>
      <c r="I46" s="12" t="s">
        <v>26</v>
      </c>
      <c r="J46" s="15" t="s">
        <v>313</v>
      </c>
      <c r="K46" s="12" t="s">
        <v>291</v>
      </c>
      <c r="L46" s="12" t="s">
        <v>314</v>
      </c>
      <c r="M46" s="14" t="s">
        <v>43</v>
      </c>
      <c r="N46" s="12" t="s">
        <v>315</v>
      </c>
      <c r="O46" s="16" t="n">
        <v>4</v>
      </c>
      <c r="P46" s="16" t="n">
        <v>5</v>
      </c>
      <c r="Q46" s="16" t="n">
        <v>0.2</v>
      </c>
      <c r="R46" s="16" t="n">
        <v>50</v>
      </c>
      <c r="S46" s="12" t="s">
        <v>294</v>
      </c>
      <c r="T46" s="12"/>
    </row>
    <row r="47" customFormat="false" ht="39.55" hidden="false" customHeight="false" outlineLevel="0" collapsed="false">
      <c r="A47" s="12" t="s">
        <v>316</v>
      </c>
      <c r="B47" s="12" t="s">
        <v>286</v>
      </c>
      <c r="C47" s="12" t="s">
        <v>287</v>
      </c>
      <c r="D47" s="13" t="n">
        <v>2</v>
      </c>
      <c r="E47" s="12" t="str">
        <f aca="false">B47&amp;" Mastery "&amp;INDEX(Tiers!$B$2:$B$6,MATCH(D47,Tiers!$A$2:$A$6,0))</f>
        <v>Water Mastery 150</v>
      </c>
      <c r="F47" s="14" t="s">
        <v>317</v>
      </c>
      <c r="G47" s="12" t="s">
        <v>318</v>
      </c>
      <c r="H47" s="12" t="s">
        <v>288</v>
      </c>
      <c r="I47" s="12" t="s">
        <v>26</v>
      </c>
      <c r="J47" s="15" t="s">
        <v>319</v>
      </c>
      <c r="K47" s="12" t="s">
        <v>291</v>
      </c>
      <c r="L47" s="12" t="s">
        <v>320</v>
      </c>
      <c r="M47" s="14" t="s">
        <v>30</v>
      </c>
      <c r="N47" s="12" t="s">
        <v>321</v>
      </c>
      <c r="O47" s="16" t="n">
        <v>8</v>
      </c>
      <c r="P47" s="16" t="n">
        <v>10</v>
      </c>
      <c r="Q47" s="16" t="n">
        <v>0.3</v>
      </c>
      <c r="R47" s="16" t="n">
        <v>70</v>
      </c>
      <c r="S47" s="12" t="s">
        <v>322</v>
      </c>
      <c r="T47" s="12"/>
    </row>
    <row r="48" customFormat="false" ht="39.55" hidden="false" customHeight="false" outlineLevel="0" collapsed="false">
      <c r="A48" s="12" t="s">
        <v>323</v>
      </c>
      <c r="B48" s="12" t="s">
        <v>286</v>
      </c>
      <c r="C48" s="12" t="s">
        <v>296</v>
      </c>
      <c r="D48" s="13" t="n">
        <v>2</v>
      </c>
      <c r="E48" s="12" t="str">
        <f aca="false">B48&amp;" Mastery "&amp;INDEX(Tiers!$B$2:$B$6,MATCH(D48,Tiers!$A$2:$A$6,0))</f>
        <v>Water Mastery 150</v>
      </c>
      <c r="F48" s="14" t="s">
        <v>324</v>
      </c>
      <c r="G48" s="12" t="s">
        <v>312</v>
      </c>
      <c r="H48" s="12" t="s">
        <v>297</v>
      </c>
      <c r="I48" s="12" t="s">
        <v>26</v>
      </c>
      <c r="J48" s="15" t="s">
        <v>325</v>
      </c>
      <c r="K48" s="12" t="s">
        <v>291</v>
      </c>
      <c r="L48" s="12" t="s">
        <v>326</v>
      </c>
      <c r="M48" s="14" t="s">
        <v>43</v>
      </c>
      <c r="N48" s="12" t="s">
        <v>327</v>
      </c>
      <c r="O48" s="16" t="n">
        <v>8</v>
      </c>
      <c r="P48" s="16" t="n">
        <v>10</v>
      </c>
      <c r="Q48" s="16" t="n">
        <v>0.3</v>
      </c>
      <c r="R48" s="16" t="n">
        <v>70</v>
      </c>
      <c r="S48" s="12" t="s">
        <v>322</v>
      </c>
      <c r="T48" s="12"/>
    </row>
    <row r="49" customFormat="false" ht="39.55" hidden="false" customHeight="false" outlineLevel="0" collapsed="false">
      <c r="A49" s="12" t="s">
        <v>328</v>
      </c>
      <c r="B49" s="12" t="s">
        <v>286</v>
      </c>
      <c r="C49" s="12" t="s">
        <v>296</v>
      </c>
      <c r="D49" s="13" t="n">
        <v>2</v>
      </c>
      <c r="E49" s="12" t="str">
        <f aca="false">B49&amp;" Mastery "&amp;INDEX(Tiers!$B$2:$B$6,MATCH(D49,Tiers!$A$2:$A$6,0))</f>
        <v>Water Mastery 150</v>
      </c>
      <c r="F49" s="14" t="s">
        <v>329</v>
      </c>
      <c r="G49" s="12" t="s">
        <v>330</v>
      </c>
      <c r="H49" s="12" t="s">
        <v>297</v>
      </c>
      <c r="I49" s="12" t="s">
        <v>26</v>
      </c>
      <c r="J49" s="15" t="s">
        <v>331</v>
      </c>
      <c r="K49" s="12" t="s">
        <v>291</v>
      </c>
      <c r="L49" s="12" t="s">
        <v>332</v>
      </c>
      <c r="M49" s="14" t="s">
        <v>30</v>
      </c>
      <c r="N49" s="12" t="s">
        <v>333</v>
      </c>
      <c r="O49" s="16" t="n">
        <v>10</v>
      </c>
      <c r="P49" s="16" t="n">
        <v>10</v>
      </c>
      <c r="Q49" s="16" t="n">
        <v>0.6</v>
      </c>
      <c r="R49" s="16" t="n">
        <v>70</v>
      </c>
      <c r="S49" s="12" t="s">
        <v>334</v>
      </c>
      <c r="T49" s="12"/>
    </row>
    <row r="50" customFormat="false" ht="39.55" hidden="false" customHeight="false" outlineLevel="0" collapsed="false">
      <c r="A50" s="12" t="s">
        <v>335</v>
      </c>
      <c r="B50" s="12" t="s">
        <v>286</v>
      </c>
      <c r="C50" s="12" t="s">
        <v>302</v>
      </c>
      <c r="D50" s="13" t="n">
        <v>2</v>
      </c>
      <c r="E50" s="12" t="str">
        <f aca="false">B50&amp;" Mastery "&amp;INDEX(Tiers!$B$2:$B$6,MATCH(D50,Tiers!$A$2:$A$6,0))</f>
        <v>Water Mastery 150</v>
      </c>
      <c r="F50" s="14" t="s">
        <v>336</v>
      </c>
      <c r="G50" s="12" t="s">
        <v>304</v>
      </c>
      <c r="H50" s="12" t="s">
        <v>303</v>
      </c>
      <c r="I50" s="12" t="s">
        <v>26</v>
      </c>
      <c r="J50" s="15" t="s">
        <v>337</v>
      </c>
      <c r="K50" s="12" t="s">
        <v>338</v>
      </c>
      <c r="L50" s="12" t="s">
        <v>339</v>
      </c>
      <c r="M50" s="14" t="s">
        <v>30</v>
      </c>
      <c r="N50" s="12" t="s">
        <v>307</v>
      </c>
      <c r="O50" s="16" t="n">
        <v>25</v>
      </c>
      <c r="P50" s="16" t="n">
        <v>10</v>
      </c>
      <c r="Q50" s="16" t="n">
        <v>0.6</v>
      </c>
      <c r="R50" s="16" t="n">
        <v>70</v>
      </c>
      <c r="S50" s="12" t="s">
        <v>334</v>
      </c>
      <c r="T50" s="12"/>
    </row>
    <row r="51" customFormat="false" ht="39.55" hidden="false" customHeight="false" outlineLevel="0" collapsed="false">
      <c r="A51" s="12" t="s">
        <v>340</v>
      </c>
      <c r="B51" s="12" t="s">
        <v>286</v>
      </c>
      <c r="C51" s="12" t="s">
        <v>310</v>
      </c>
      <c r="D51" s="13" t="n">
        <v>2</v>
      </c>
      <c r="E51" s="12" t="str">
        <f aca="false">B51&amp;" Mastery "&amp;INDEX(Tiers!$B$2:$B$6,MATCH(D51,Tiers!$A$2:$A$6,0))</f>
        <v>Water Mastery 150</v>
      </c>
      <c r="F51" s="14" t="s">
        <v>341</v>
      </c>
      <c r="G51" s="12" t="s">
        <v>342</v>
      </c>
      <c r="H51" s="12" t="s">
        <v>311</v>
      </c>
      <c r="I51" s="12" t="s">
        <v>26</v>
      </c>
      <c r="J51" s="15" t="s">
        <v>343</v>
      </c>
      <c r="K51" s="12" t="s">
        <v>291</v>
      </c>
      <c r="L51" s="12" t="s">
        <v>344</v>
      </c>
      <c r="M51" s="14" t="s">
        <v>58</v>
      </c>
      <c r="N51" s="12" t="s">
        <v>345</v>
      </c>
      <c r="O51" s="16" t="n">
        <v>10</v>
      </c>
      <c r="P51" s="16" t="n">
        <v>10</v>
      </c>
      <c r="Q51" s="16" t="n">
        <v>0.6</v>
      </c>
      <c r="R51" s="16" t="n">
        <v>70</v>
      </c>
      <c r="S51" s="12" t="s">
        <v>334</v>
      </c>
      <c r="T51" s="12"/>
    </row>
    <row r="52" customFormat="false" ht="39.55" hidden="false" customHeight="false" outlineLevel="0" collapsed="false">
      <c r="A52" s="12" t="s">
        <v>346</v>
      </c>
      <c r="B52" s="12" t="s">
        <v>286</v>
      </c>
      <c r="C52" s="12" t="s">
        <v>287</v>
      </c>
      <c r="D52" s="13" t="n">
        <v>3</v>
      </c>
      <c r="E52" s="12" t="str">
        <f aca="false">B52&amp;" Mastery "&amp;INDEX(Tiers!$B$2:$B$6,MATCH(D52,Tiers!$A$2:$A$6,0))</f>
        <v>Water Mastery 350</v>
      </c>
      <c r="F52" s="14" t="s">
        <v>347</v>
      </c>
      <c r="G52" s="12" t="s">
        <v>348</v>
      </c>
      <c r="H52" s="12" t="s">
        <v>317</v>
      </c>
      <c r="I52" s="12" t="s">
        <v>26</v>
      </c>
      <c r="J52" s="15" t="s">
        <v>349</v>
      </c>
      <c r="K52" s="12" t="s">
        <v>291</v>
      </c>
      <c r="L52" s="12" t="s">
        <v>350</v>
      </c>
      <c r="M52" s="14" t="s">
        <v>30</v>
      </c>
      <c r="N52" s="12" t="s">
        <v>307</v>
      </c>
      <c r="O52" s="16" t="n">
        <v>20</v>
      </c>
      <c r="P52" s="16" t="n">
        <v>15</v>
      </c>
      <c r="Q52" s="16" t="n">
        <v>0.8</v>
      </c>
      <c r="R52" s="16" t="n">
        <v>100</v>
      </c>
      <c r="S52" s="12" t="s">
        <v>351</v>
      </c>
      <c r="T52" s="12"/>
    </row>
    <row r="53" customFormat="false" ht="39.55" hidden="false" customHeight="false" outlineLevel="0" collapsed="false">
      <c r="A53" s="12" t="s">
        <v>352</v>
      </c>
      <c r="B53" s="12" t="s">
        <v>286</v>
      </c>
      <c r="C53" s="12" t="s">
        <v>296</v>
      </c>
      <c r="D53" s="13" t="n">
        <v>3</v>
      </c>
      <c r="E53" s="12" t="str">
        <f aca="false">B53&amp;" Mastery "&amp;INDEX(Tiers!$B$2:$B$6,MATCH(D53,Tiers!$A$2:$A$6,0))</f>
        <v>Water Mastery 350</v>
      </c>
      <c r="F53" s="14" t="s">
        <v>353</v>
      </c>
      <c r="G53" s="12" t="s">
        <v>24</v>
      </c>
      <c r="H53" s="12" t="s">
        <v>324</v>
      </c>
      <c r="I53" s="12" t="s">
        <v>26</v>
      </c>
      <c r="J53" s="15" t="s">
        <v>354</v>
      </c>
      <c r="K53" s="12" t="s">
        <v>291</v>
      </c>
      <c r="L53" s="12" t="s">
        <v>355</v>
      </c>
      <c r="M53" s="14" t="s">
        <v>43</v>
      </c>
      <c r="N53" s="12" t="s">
        <v>356</v>
      </c>
      <c r="O53" s="16" t="n">
        <v>12</v>
      </c>
      <c r="P53" s="16" t="n">
        <v>15</v>
      </c>
      <c r="Q53" s="16" t="n">
        <v>0.8</v>
      </c>
      <c r="R53" s="16" t="n">
        <v>100</v>
      </c>
      <c r="S53" s="12" t="s">
        <v>351</v>
      </c>
      <c r="T53" s="12"/>
    </row>
    <row r="54" customFormat="false" ht="39.55" hidden="false" customHeight="false" outlineLevel="0" collapsed="false">
      <c r="A54" s="12" t="s">
        <v>357</v>
      </c>
      <c r="B54" s="12" t="s">
        <v>286</v>
      </c>
      <c r="C54" s="12" t="s">
        <v>302</v>
      </c>
      <c r="D54" s="13" t="n">
        <v>3</v>
      </c>
      <c r="E54" s="12" t="str">
        <f aca="false">B54&amp;" Mastery "&amp;INDEX(Tiers!$B$2:$B$6,MATCH(D54,Tiers!$A$2:$A$6,0))</f>
        <v>Water Mastery 350</v>
      </c>
      <c r="F54" s="14" t="s">
        <v>358</v>
      </c>
      <c r="G54" s="12" t="s">
        <v>199</v>
      </c>
      <c r="H54" s="12" t="s">
        <v>336</v>
      </c>
      <c r="I54" s="12" t="s">
        <v>26</v>
      </c>
      <c r="J54" s="15" t="s">
        <v>359</v>
      </c>
      <c r="K54" s="12" t="s">
        <v>291</v>
      </c>
      <c r="L54" s="12" t="s">
        <v>360</v>
      </c>
      <c r="M54" s="14" t="s">
        <v>30</v>
      </c>
      <c r="N54" s="12" t="s">
        <v>307</v>
      </c>
      <c r="O54" s="16" t="n">
        <v>20</v>
      </c>
      <c r="P54" s="16" t="n">
        <v>15</v>
      </c>
      <c r="Q54" s="16" t="n">
        <v>0.8</v>
      </c>
      <c r="R54" s="16" t="n">
        <v>100</v>
      </c>
      <c r="S54" s="12" t="s">
        <v>351</v>
      </c>
      <c r="T54" s="12"/>
    </row>
    <row r="55" customFormat="false" ht="39.55" hidden="false" customHeight="false" outlineLevel="0" collapsed="false">
      <c r="A55" s="12" t="s">
        <v>361</v>
      </c>
      <c r="B55" s="12" t="s">
        <v>286</v>
      </c>
      <c r="C55" s="12" t="s">
        <v>310</v>
      </c>
      <c r="D55" s="13" t="n">
        <v>3</v>
      </c>
      <c r="E55" s="12" t="str">
        <f aca="false">B55&amp;" Mastery "&amp;INDEX(Tiers!$B$2:$B$6,MATCH(D55,Tiers!$A$2:$A$6,0))</f>
        <v>Water Mastery 350</v>
      </c>
      <c r="F55" s="14" t="s">
        <v>362</v>
      </c>
      <c r="G55" s="12" t="s">
        <v>363</v>
      </c>
      <c r="H55" s="12" t="s">
        <v>341</v>
      </c>
      <c r="I55" s="12" t="s">
        <v>26</v>
      </c>
      <c r="J55" s="15" t="s">
        <v>364</v>
      </c>
      <c r="K55" s="12" t="s">
        <v>291</v>
      </c>
      <c r="L55" s="12" t="s">
        <v>365</v>
      </c>
      <c r="M55" s="14" t="s">
        <v>30</v>
      </c>
      <c r="N55" s="12" t="s">
        <v>366</v>
      </c>
      <c r="O55" s="16" t="n">
        <v>20</v>
      </c>
      <c r="P55" s="16" t="n">
        <v>15</v>
      </c>
      <c r="Q55" s="16" t="n">
        <v>0.8</v>
      </c>
      <c r="R55" s="16" t="n">
        <v>100</v>
      </c>
      <c r="S55" s="12" t="s">
        <v>351</v>
      </c>
      <c r="T55" s="12"/>
    </row>
    <row r="56" customFormat="false" ht="39.55" hidden="false" customHeight="false" outlineLevel="0" collapsed="false">
      <c r="A56" s="12" t="s">
        <v>367</v>
      </c>
      <c r="B56" s="12" t="s">
        <v>286</v>
      </c>
      <c r="C56" s="12" t="s">
        <v>287</v>
      </c>
      <c r="D56" s="13" t="n">
        <v>3</v>
      </c>
      <c r="E56" s="12" t="str">
        <f aca="false">B56&amp;" Mastery "&amp;INDEX(Tiers!$B$2:$B$6,MATCH(D56,Tiers!$A$2:$A$6,0))</f>
        <v>Water Mastery 350</v>
      </c>
      <c r="F56" s="14" t="s">
        <v>368</v>
      </c>
      <c r="G56" s="12" t="s">
        <v>369</v>
      </c>
      <c r="H56" s="12" t="s">
        <v>347</v>
      </c>
      <c r="I56" s="12" t="s">
        <v>26</v>
      </c>
      <c r="J56" s="15" t="s">
        <v>370</v>
      </c>
      <c r="K56" s="12" t="s">
        <v>371</v>
      </c>
      <c r="L56" s="12" t="s">
        <v>372</v>
      </c>
      <c r="M56" s="14" t="s">
        <v>30</v>
      </c>
      <c r="N56" s="12" t="s">
        <v>373</v>
      </c>
      <c r="O56" s="16" t="n">
        <v>120</v>
      </c>
      <c r="P56" s="16" t="n">
        <v>15</v>
      </c>
      <c r="Q56" s="16" t="n">
        <v>4</v>
      </c>
      <c r="R56" s="16" t="n">
        <v>100</v>
      </c>
      <c r="S56" s="12" t="s">
        <v>374</v>
      </c>
      <c r="T56" s="12"/>
    </row>
    <row r="57" customFormat="false" ht="39.55" hidden="false" customHeight="false" outlineLevel="0" collapsed="false">
      <c r="A57" s="12" t="s">
        <v>375</v>
      </c>
      <c r="B57" s="12" t="s">
        <v>286</v>
      </c>
      <c r="C57" s="12" t="s">
        <v>296</v>
      </c>
      <c r="D57" s="13" t="n">
        <v>4</v>
      </c>
      <c r="E57" s="12" t="str">
        <f aca="false">B57&amp;" Mastery "&amp;INDEX(Tiers!$B$2:$B$6,MATCH(D57,Tiers!$A$2:$A$6,0))</f>
        <v>Water Mastery 600</v>
      </c>
      <c r="F57" s="14" t="s">
        <v>376</v>
      </c>
      <c r="G57" s="12" t="s">
        <v>342</v>
      </c>
      <c r="H57" s="12" t="s">
        <v>353</v>
      </c>
      <c r="I57" s="12" t="s">
        <v>26</v>
      </c>
      <c r="J57" s="15" t="s">
        <v>377</v>
      </c>
      <c r="K57" s="12" t="s">
        <v>291</v>
      </c>
      <c r="L57" s="12" t="s">
        <v>378</v>
      </c>
      <c r="M57" s="14" t="s">
        <v>43</v>
      </c>
      <c r="N57" s="12" t="s">
        <v>379</v>
      </c>
      <c r="O57" s="16" t="n">
        <v>30</v>
      </c>
      <c r="P57" s="16" t="n">
        <v>25</v>
      </c>
      <c r="Q57" s="16" t="n">
        <v>2</v>
      </c>
      <c r="R57" s="16" t="n">
        <v>150</v>
      </c>
      <c r="S57" s="12" t="s">
        <v>380</v>
      </c>
      <c r="T57" s="12"/>
    </row>
    <row r="58" customFormat="false" ht="39.55" hidden="false" customHeight="false" outlineLevel="0" collapsed="false">
      <c r="A58" s="12" t="s">
        <v>381</v>
      </c>
      <c r="B58" s="12" t="s">
        <v>286</v>
      </c>
      <c r="C58" s="12" t="s">
        <v>302</v>
      </c>
      <c r="D58" s="13" t="n">
        <v>4</v>
      </c>
      <c r="E58" s="12" t="str">
        <f aca="false">B58&amp;" Mastery "&amp;INDEX(Tiers!$B$2:$B$6,MATCH(D58,Tiers!$A$2:$A$6,0))</f>
        <v>Water Mastery 600</v>
      </c>
      <c r="F58" s="14" t="s">
        <v>382</v>
      </c>
      <c r="G58" s="12" t="s">
        <v>383</v>
      </c>
      <c r="H58" s="12" t="s">
        <v>358</v>
      </c>
      <c r="I58" s="12" t="s">
        <v>26</v>
      </c>
      <c r="J58" s="15" t="s">
        <v>384</v>
      </c>
      <c r="K58" s="12" t="s">
        <v>291</v>
      </c>
      <c r="L58" s="12" t="s">
        <v>385</v>
      </c>
      <c r="M58" s="14" t="s">
        <v>50</v>
      </c>
      <c r="N58" s="12" t="s">
        <v>386</v>
      </c>
      <c r="O58" s="16" t="n">
        <v>45</v>
      </c>
      <c r="P58" s="16" t="n">
        <v>25</v>
      </c>
      <c r="Q58" s="16" t="n">
        <v>2</v>
      </c>
      <c r="R58" s="16" t="n">
        <v>150</v>
      </c>
      <c r="S58" s="12" t="s">
        <v>380</v>
      </c>
      <c r="T58" s="12"/>
    </row>
    <row r="59" customFormat="false" ht="39.55" hidden="false" customHeight="false" outlineLevel="0" collapsed="false">
      <c r="A59" s="12" t="s">
        <v>387</v>
      </c>
      <c r="B59" s="12" t="s">
        <v>286</v>
      </c>
      <c r="C59" s="12" t="s">
        <v>287</v>
      </c>
      <c r="D59" s="13" t="n">
        <v>4</v>
      </c>
      <c r="E59" s="12" t="str">
        <f aca="false">B59&amp;" Mastery "&amp;INDEX(Tiers!$B$2:$B$6,MATCH(D59,Tiers!$A$2:$A$6,0))</f>
        <v>Water Mastery 600</v>
      </c>
      <c r="F59" s="14" t="s">
        <v>388</v>
      </c>
      <c r="G59" s="12" t="s">
        <v>389</v>
      </c>
      <c r="H59" s="12" t="s">
        <v>347</v>
      </c>
      <c r="I59" s="12" t="s">
        <v>26</v>
      </c>
      <c r="J59" s="15" t="s">
        <v>390</v>
      </c>
      <c r="K59" s="12" t="s">
        <v>291</v>
      </c>
      <c r="L59" s="12" t="s">
        <v>391</v>
      </c>
      <c r="M59" s="14" t="s">
        <v>58</v>
      </c>
      <c r="N59" s="12" t="s">
        <v>392</v>
      </c>
      <c r="O59" s="16" t="n">
        <v>25</v>
      </c>
      <c r="P59" s="16" t="n">
        <v>25</v>
      </c>
      <c r="Q59" s="16" t="n">
        <v>1</v>
      </c>
      <c r="R59" s="16" t="n">
        <v>150</v>
      </c>
      <c r="S59" s="12" t="s">
        <v>393</v>
      </c>
      <c r="T59" s="12"/>
    </row>
    <row r="60" customFormat="false" ht="39.55" hidden="false" customHeight="false" outlineLevel="0" collapsed="false">
      <c r="A60" s="12" t="s">
        <v>394</v>
      </c>
      <c r="B60" s="12" t="s">
        <v>286</v>
      </c>
      <c r="C60" s="12" t="s">
        <v>310</v>
      </c>
      <c r="D60" s="13" t="n">
        <v>4</v>
      </c>
      <c r="E60" s="12" t="str">
        <f aca="false">B60&amp;" Mastery "&amp;INDEX(Tiers!$B$2:$B$6,MATCH(D60,Tiers!$A$2:$A$6,0))</f>
        <v>Water Mastery 600</v>
      </c>
      <c r="F60" s="14" t="s">
        <v>395</v>
      </c>
      <c r="G60" s="12" t="s">
        <v>396</v>
      </c>
      <c r="H60" s="12" t="s">
        <v>397</v>
      </c>
      <c r="I60" s="12" t="s">
        <v>26</v>
      </c>
      <c r="J60" s="15" t="s">
        <v>398</v>
      </c>
      <c r="K60" s="12" t="s">
        <v>291</v>
      </c>
      <c r="L60" s="12" t="s">
        <v>399</v>
      </c>
      <c r="M60" s="14" t="s">
        <v>58</v>
      </c>
      <c r="N60" s="12" t="s">
        <v>400</v>
      </c>
      <c r="O60" s="16" t="n">
        <v>30</v>
      </c>
      <c r="P60" s="16" t="n">
        <v>25</v>
      </c>
      <c r="Q60" s="16" t="n">
        <v>2</v>
      </c>
      <c r="R60" s="16" t="n">
        <v>150</v>
      </c>
      <c r="S60" s="12" t="s">
        <v>380</v>
      </c>
      <c r="T60" s="12"/>
    </row>
    <row r="61" customFormat="false" ht="39.55" hidden="false" customHeight="false" outlineLevel="0" collapsed="false">
      <c r="A61" s="12" t="s">
        <v>401</v>
      </c>
      <c r="B61" s="12" t="s">
        <v>286</v>
      </c>
      <c r="C61" s="12" t="s">
        <v>310</v>
      </c>
      <c r="D61" s="13" t="n">
        <v>4</v>
      </c>
      <c r="E61" s="12" t="str">
        <f aca="false">B61&amp;" Mastery "&amp;INDEX(Tiers!$B$2:$B$6,MATCH(D61,Tiers!$A$2:$A$6,0))</f>
        <v>Water Mastery 600</v>
      </c>
      <c r="F61" s="14" t="s">
        <v>402</v>
      </c>
      <c r="G61" s="12" t="s">
        <v>403</v>
      </c>
      <c r="H61" s="12" t="s">
        <v>362</v>
      </c>
      <c r="I61" s="12" t="s">
        <v>26</v>
      </c>
      <c r="J61" s="15" t="s">
        <v>404</v>
      </c>
      <c r="K61" s="12" t="s">
        <v>291</v>
      </c>
      <c r="L61" s="12" t="s">
        <v>405</v>
      </c>
      <c r="M61" s="14" t="s">
        <v>30</v>
      </c>
      <c r="N61" s="12" t="s">
        <v>406</v>
      </c>
      <c r="O61" s="16" t="n">
        <v>60</v>
      </c>
      <c r="P61" s="16" t="n">
        <v>25</v>
      </c>
      <c r="Q61" s="16" t="n">
        <v>2</v>
      </c>
      <c r="R61" s="16" t="n">
        <v>150</v>
      </c>
      <c r="S61" s="12" t="s">
        <v>380</v>
      </c>
      <c r="T61" s="12"/>
    </row>
    <row r="62" customFormat="false" ht="39.55" hidden="false" customHeight="false" outlineLevel="0" collapsed="false">
      <c r="A62" s="12" t="s">
        <v>407</v>
      </c>
      <c r="B62" s="12" t="s">
        <v>286</v>
      </c>
      <c r="C62" s="12" t="s">
        <v>296</v>
      </c>
      <c r="D62" s="13" t="n">
        <v>4</v>
      </c>
      <c r="E62" s="12" t="str">
        <f aca="false">B62&amp;" Mastery "&amp;INDEX(Tiers!$B$2:$B$6,MATCH(D62,Tiers!$A$2:$A$6,0))</f>
        <v>Water Mastery 600</v>
      </c>
      <c r="F62" s="14" t="s">
        <v>408</v>
      </c>
      <c r="G62" s="12" t="s">
        <v>409</v>
      </c>
      <c r="H62" s="12" t="s">
        <v>410</v>
      </c>
      <c r="I62" s="12" t="s">
        <v>26</v>
      </c>
      <c r="J62" s="15" t="s">
        <v>411</v>
      </c>
      <c r="K62" s="12" t="s">
        <v>291</v>
      </c>
      <c r="L62" s="12" t="s">
        <v>412</v>
      </c>
      <c r="M62" s="14" t="s">
        <v>50</v>
      </c>
      <c r="N62" s="12" t="s">
        <v>413</v>
      </c>
      <c r="O62" s="16" t="n">
        <v>45</v>
      </c>
      <c r="P62" s="16" t="n">
        <v>25</v>
      </c>
      <c r="Q62" s="16" t="n">
        <v>2</v>
      </c>
      <c r="R62" s="16" t="n">
        <v>150</v>
      </c>
      <c r="S62" s="12" t="s">
        <v>380</v>
      </c>
      <c r="T62" s="12"/>
    </row>
    <row r="63" customFormat="false" ht="39.55" hidden="false" customHeight="false" outlineLevel="0" collapsed="false">
      <c r="A63" s="12" t="s">
        <v>414</v>
      </c>
      <c r="B63" s="12" t="s">
        <v>286</v>
      </c>
      <c r="C63" s="12" t="s">
        <v>302</v>
      </c>
      <c r="D63" s="13" t="n">
        <v>5</v>
      </c>
      <c r="E63" s="12" t="str">
        <f aca="false">B63&amp;" Mastery "&amp;INDEX(Tiers!$B$2:$B$6,MATCH(D63,Tiers!$A$2:$A$6,0))</f>
        <v>Water Mastery 900</v>
      </c>
      <c r="F63" s="14" t="s">
        <v>415</v>
      </c>
      <c r="G63" s="12" t="s">
        <v>47</v>
      </c>
      <c r="H63" s="12" t="s">
        <v>382</v>
      </c>
      <c r="I63" s="12" t="s">
        <v>26</v>
      </c>
      <c r="J63" s="15" t="s">
        <v>416</v>
      </c>
      <c r="K63" s="12" t="s">
        <v>291</v>
      </c>
      <c r="L63" s="12" t="s">
        <v>417</v>
      </c>
      <c r="M63" s="14" t="s">
        <v>50</v>
      </c>
      <c r="N63" s="12" t="s">
        <v>51</v>
      </c>
      <c r="O63" s="16" t="n">
        <v>120</v>
      </c>
      <c r="P63" s="16" t="n">
        <v>50</v>
      </c>
      <c r="Q63" s="16" t="n">
        <v>10</v>
      </c>
      <c r="R63" s="16" t="n">
        <v>200</v>
      </c>
      <c r="S63" s="12" t="s">
        <v>418</v>
      </c>
      <c r="T63" s="12"/>
    </row>
    <row r="64" customFormat="false" ht="39.55" hidden="false" customHeight="false" outlineLevel="0" collapsed="false">
      <c r="A64" s="12" t="s">
        <v>419</v>
      </c>
      <c r="B64" s="12" t="s">
        <v>286</v>
      </c>
      <c r="C64" s="12" t="s">
        <v>287</v>
      </c>
      <c r="D64" s="13" t="n">
        <v>5</v>
      </c>
      <c r="E64" s="12" t="str">
        <f aca="false">B64&amp;" Mastery "&amp;INDEX(Tiers!$B$2:$B$6,MATCH(D64,Tiers!$A$2:$A$6,0))</f>
        <v>Water Mastery 900</v>
      </c>
      <c r="F64" s="14" t="s">
        <v>420</v>
      </c>
      <c r="G64" s="12" t="s">
        <v>47</v>
      </c>
      <c r="H64" s="12" t="s">
        <v>421</v>
      </c>
      <c r="I64" s="12" t="s">
        <v>26</v>
      </c>
      <c r="J64" s="15" t="s">
        <v>422</v>
      </c>
      <c r="K64" s="12" t="s">
        <v>291</v>
      </c>
      <c r="L64" s="12" t="s">
        <v>423</v>
      </c>
      <c r="M64" s="14" t="s">
        <v>50</v>
      </c>
      <c r="N64" s="12" t="s">
        <v>424</v>
      </c>
      <c r="O64" s="16" t="n">
        <v>120</v>
      </c>
      <c r="P64" s="16" t="n">
        <v>50</v>
      </c>
      <c r="Q64" s="16" t="n">
        <v>10</v>
      </c>
      <c r="R64" s="16" t="n">
        <v>200</v>
      </c>
      <c r="S64" s="12" t="s">
        <v>418</v>
      </c>
      <c r="T64" s="12"/>
    </row>
    <row r="65" customFormat="false" ht="39.55" hidden="false" customHeight="false" outlineLevel="0" collapsed="false">
      <c r="A65" s="12" t="s">
        <v>425</v>
      </c>
      <c r="B65" s="12" t="s">
        <v>286</v>
      </c>
      <c r="C65" s="12" t="s">
        <v>287</v>
      </c>
      <c r="D65" s="13" t="n">
        <v>5</v>
      </c>
      <c r="E65" s="12" t="str">
        <f aca="false">B65&amp;" Mastery "&amp;INDEX(Tiers!$B$2:$B$6,MATCH(D65,Tiers!$A$2:$A$6,0))</f>
        <v>Water Mastery 900</v>
      </c>
      <c r="F65" s="14" t="s">
        <v>426</v>
      </c>
      <c r="G65" s="12" t="s">
        <v>427</v>
      </c>
      <c r="H65" s="12" t="s">
        <v>428</v>
      </c>
      <c r="I65" s="12" t="s">
        <v>26</v>
      </c>
      <c r="J65" s="15" t="s">
        <v>429</v>
      </c>
      <c r="K65" s="12" t="s">
        <v>371</v>
      </c>
      <c r="L65" s="12" t="s">
        <v>430</v>
      </c>
      <c r="M65" s="14" t="s">
        <v>50</v>
      </c>
      <c r="N65" s="12" t="s">
        <v>431</v>
      </c>
      <c r="O65" s="16" t="n">
        <v>600</v>
      </c>
      <c r="P65" s="16" t="n">
        <v>50</v>
      </c>
      <c r="Q65" s="16" t="n">
        <v>10</v>
      </c>
      <c r="R65" s="16" t="n">
        <v>200</v>
      </c>
      <c r="S65" s="12" t="s">
        <v>418</v>
      </c>
      <c r="T65" s="12"/>
    </row>
    <row r="66" customFormat="false" ht="26.85" hidden="false" customHeight="false" outlineLevel="0" collapsed="false">
      <c r="A66" s="17" t="s">
        <v>432</v>
      </c>
      <c r="B66" s="17" t="s">
        <v>433</v>
      </c>
      <c r="C66" s="17" t="s">
        <v>434</v>
      </c>
      <c r="D66" s="18" t="n">
        <v>1</v>
      </c>
      <c r="E66" s="17" t="str">
        <f aca="false">B66&amp;" Mastery "&amp;INDEX(Tiers!$B$2:$B$6,MATCH(D66,Tiers!$A$2:$A$6,0))</f>
        <v>Air Mastery 0</v>
      </c>
      <c r="F66" s="19" t="s">
        <v>435</v>
      </c>
      <c r="G66" s="17" t="s">
        <v>403</v>
      </c>
      <c r="H66" s="17" t="s">
        <v>25</v>
      </c>
      <c r="I66" s="17" t="s">
        <v>26</v>
      </c>
      <c r="J66" s="20" t="s">
        <v>436</v>
      </c>
      <c r="K66" s="17" t="s">
        <v>437</v>
      </c>
      <c r="L66" s="17" t="s">
        <v>438</v>
      </c>
      <c r="M66" s="19" t="s">
        <v>30</v>
      </c>
      <c r="N66" s="17" t="s">
        <v>439</v>
      </c>
      <c r="O66" s="21" t="n">
        <v>4</v>
      </c>
      <c r="P66" s="21" t="n">
        <v>5</v>
      </c>
      <c r="Q66" s="21" t="n">
        <v>0.2</v>
      </c>
      <c r="R66" s="21" t="n">
        <v>50</v>
      </c>
      <c r="S66" s="17" t="s">
        <v>440</v>
      </c>
      <c r="T66" s="17"/>
    </row>
    <row r="67" customFormat="false" ht="26.85" hidden="false" customHeight="false" outlineLevel="0" collapsed="false">
      <c r="A67" s="17" t="s">
        <v>441</v>
      </c>
      <c r="B67" s="17" t="s">
        <v>433</v>
      </c>
      <c r="C67" s="17" t="s">
        <v>442</v>
      </c>
      <c r="D67" s="18" t="n">
        <v>1</v>
      </c>
      <c r="E67" s="17" t="str">
        <f aca="false">B67&amp;" Mastery "&amp;INDEX(Tiers!$B$2:$B$6,MATCH(D67,Tiers!$A$2:$A$6,0))</f>
        <v>Air Mastery 0</v>
      </c>
      <c r="F67" s="19" t="s">
        <v>443</v>
      </c>
      <c r="G67" s="17" t="s">
        <v>444</v>
      </c>
      <c r="H67" s="17" t="s">
        <v>25</v>
      </c>
      <c r="I67" s="17" t="s">
        <v>26</v>
      </c>
      <c r="J67" s="20" t="s">
        <v>445</v>
      </c>
      <c r="K67" s="17" t="s">
        <v>437</v>
      </c>
      <c r="L67" s="17" t="s">
        <v>446</v>
      </c>
      <c r="M67" s="19" t="s">
        <v>30</v>
      </c>
      <c r="N67" s="17" t="s">
        <v>447</v>
      </c>
      <c r="O67" s="21" t="n">
        <v>10</v>
      </c>
      <c r="P67" s="21" t="n">
        <v>5</v>
      </c>
      <c r="Q67" s="21" t="n">
        <v>0.4</v>
      </c>
      <c r="R67" s="21" t="n">
        <v>50</v>
      </c>
      <c r="S67" s="17" t="s">
        <v>448</v>
      </c>
      <c r="T67" s="17"/>
    </row>
    <row r="68" customFormat="false" ht="26.85" hidden="false" customHeight="false" outlineLevel="0" collapsed="false">
      <c r="A68" s="17" t="s">
        <v>449</v>
      </c>
      <c r="B68" s="17" t="s">
        <v>433</v>
      </c>
      <c r="C68" s="17" t="s">
        <v>450</v>
      </c>
      <c r="D68" s="18" t="n">
        <v>1</v>
      </c>
      <c r="E68" s="17" t="str">
        <f aca="false">B68&amp;" Mastery "&amp;INDEX(Tiers!$B$2:$B$6,MATCH(D68,Tiers!$A$2:$A$6,0))</f>
        <v>Air Mastery 0</v>
      </c>
      <c r="F68" s="19" t="s">
        <v>451</v>
      </c>
      <c r="G68" s="17" t="s">
        <v>55</v>
      </c>
      <c r="H68" s="17" t="s">
        <v>25</v>
      </c>
      <c r="I68" s="17" t="s">
        <v>26</v>
      </c>
      <c r="J68" s="20" t="s">
        <v>452</v>
      </c>
      <c r="K68" s="17" t="s">
        <v>453</v>
      </c>
      <c r="L68" s="17" t="s">
        <v>454</v>
      </c>
      <c r="M68" s="19" t="s">
        <v>50</v>
      </c>
      <c r="N68" s="17" t="s">
        <v>51</v>
      </c>
      <c r="O68" s="21" t="n">
        <v>10</v>
      </c>
      <c r="P68" s="21" t="n">
        <v>5</v>
      </c>
      <c r="Q68" s="21" t="n">
        <v>0.4</v>
      </c>
      <c r="R68" s="21" t="n">
        <v>50</v>
      </c>
      <c r="S68" s="17" t="s">
        <v>448</v>
      </c>
      <c r="T68" s="17"/>
    </row>
    <row r="69" customFormat="false" ht="26.85" hidden="false" customHeight="false" outlineLevel="0" collapsed="false">
      <c r="A69" s="17" t="s">
        <v>455</v>
      </c>
      <c r="B69" s="17" t="s">
        <v>433</v>
      </c>
      <c r="C69" s="17" t="s">
        <v>434</v>
      </c>
      <c r="D69" s="18" t="n">
        <v>1</v>
      </c>
      <c r="E69" s="17" t="str">
        <f aca="false">B69&amp;" Mastery "&amp;INDEX(Tiers!$B$2:$B$6,MATCH(D69,Tiers!$A$2:$A$6,0))</f>
        <v>Air Mastery 0</v>
      </c>
      <c r="F69" s="19" t="s">
        <v>456</v>
      </c>
      <c r="G69" s="17" t="s">
        <v>403</v>
      </c>
      <c r="H69" s="17" t="s">
        <v>25</v>
      </c>
      <c r="I69" s="17" t="s">
        <v>26</v>
      </c>
      <c r="J69" s="20" t="s">
        <v>457</v>
      </c>
      <c r="K69" s="17" t="s">
        <v>437</v>
      </c>
      <c r="L69" s="17" t="s">
        <v>458</v>
      </c>
      <c r="M69" s="19" t="s">
        <v>43</v>
      </c>
      <c r="N69" s="17" t="s">
        <v>459</v>
      </c>
      <c r="O69" s="21" t="n">
        <v>10</v>
      </c>
      <c r="P69" s="21" t="n">
        <v>5</v>
      </c>
      <c r="Q69" s="21" t="n">
        <v>0.4</v>
      </c>
      <c r="R69" s="21" t="n">
        <v>50</v>
      </c>
      <c r="S69" s="17" t="s">
        <v>448</v>
      </c>
      <c r="T69" s="17"/>
    </row>
    <row r="70" customFormat="false" ht="26.85" hidden="false" customHeight="false" outlineLevel="0" collapsed="false">
      <c r="A70" s="17" t="s">
        <v>460</v>
      </c>
      <c r="B70" s="17" t="s">
        <v>433</v>
      </c>
      <c r="C70" s="17" t="s">
        <v>434</v>
      </c>
      <c r="D70" s="18" t="n">
        <v>2</v>
      </c>
      <c r="E70" s="17" t="str">
        <f aca="false">B70&amp;" Mastery "&amp;INDEX(Tiers!$B$2:$B$6,MATCH(D70,Tiers!$A$2:$A$6,0))</f>
        <v>Air Mastery 150</v>
      </c>
      <c r="F70" s="19" t="s">
        <v>461</v>
      </c>
      <c r="G70" s="17" t="s">
        <v>403</v>
      </c>
      <c r="H70" s="17" t="s">
        <v>435</v>
      </c>
      <c r="I70" s="17" t="s">
        <v>26</v>
      </c>
      <c r="J70" s="20" t="s">
        <v>462</v>
      </c>
      <c r="K70" s="17" t="s">
        <v>437</v>
      </c>
      <c r="L70" s="17" t="s">
        <v>463</v>
      </c>
      <c r="M70" s="19" t="s">
        <v>30</v>
      </c>
      <c r="N70" s="17" t="s">
        <v>464</v>
      </c>
      <c r="O70" s="21" t="n">
        <v>10</v>
      </c>
      <c r="P70" s="21" t="n">
        <v>10</v>
      </c>
      <c r="Q70" s="21" t="n">
        <v>0.6</v>
      </c>
      <c r="R70" s="21" t="n">
        <v>70</v>
      </c>
      <c r="S70" s="17" t="s">
        <v>465</v>
      </c>
      <c r="T70" s="17"/>
    </row>
    <row r="71" customFormat="false" ht="26.85" hidden="false" customHeight="false" outlineLevel="0" collapsed="false">
      <c r="A71" s="17" t="s">
        <v>466</v>
      </c>
      <c r="B71" s="17" t="s">
        <v>433</v>
      </c>
      <c r="C71" s="17" t="s">
        <v>434</v>
      </c>
      <c r="D71" s="18" t="n">
        <v>2</v>
      </c>
      <c r="E71" s="17" t="str">
        <f aca="false">B71&amp;" Mastery "&amp;INDEX(Tiers!$B$2:$B$6,MATCH(D71,Tiers!$A$2:$A$6,0))</f>
        <v>Air Mastery 150</v>
      </c>
      <c r="F71" s="19" t="s">
        <v>467</v>
      </c>
      <c r="G71" s="17" t="s">
        <v>403</v>
      </c>
      <c r="H71" s="17" t="s">
        <v>456</v>
      </c>
      <c r="I71" s="17" t="s">
        <v>26</v>
      </c>
      <c r="J71" s="20" t="s">
        <v>468</v>
      </c>
      <c r="K71" s="17" t="s">
        <v>437</v>
      </c>
      <c r="L71" s="17" t="s">
        <v>469</v>
      </c>
      <c r="M71" s="19" t="s">
        <v>58</v>
      </c>
      <c r="N71" s="17" t="s">
        <v>470</v>
      </c>
      <c r="O71" s="21" t="n">
        <v>18</v>
      </c>
      <c r="P71" s="21" t="n">
        <v>10</v>
      </c>
      <c r="Q71" s="21" t="n">
        <v>0.6</v>
      </c>
      <c r="R71" s="21" t="n">
        <v>70</v>
      </c>
      <c r="S71" s="17" t="s">
        <v>465</v>
      </c>
      <c r="T71" s="17"/>
    </row>
    <row r="72" customFormat="false" ht="26.85" hidden="false" customHeight="false" outlineLevel="0" collapsed="false">
      <c r="A72" s="17" t="s">
        <v>471</v>
      </c>
      <c r="B72" s="17" t="s">
        <v>433</v>
      </c>
      <c r="C72" s="17" t="s">
        <v>442</v>
      </c>
      <c r="D72" s="18" t="n">
        <v>2</v>
      </c>
      <c r="E72" s="17" t="str">
        <f aca="false">B72&amp;" Mastery "&amp;INDEX(Tiers!$B$2:$B$6,MATCH(D72,Tiers!$A$2:$A$6,0))</f>
        <v>Air Mastery 150</v>
      </c>
      <c r="F72" s="19" t="s">
        <v>472</v>
      </c>
      <c r="G72" s="17" t="s">
        <v>403</v>
      </c>
      <c r="H72" s="17" t="s">
        <v>443</v>
      </c>
      <c r="I72" s="17" t="s">
        <v>26</v>
      </c>
      <c r="J72" s="20" t="s">
        <v>473</v>
      </c>
      <c r="K72" s="17" t="s">
        <v>437</v>
      </c>
      <c r="L72" s="17" t="s">
        <v>474</v>
      </c>
      <c r="M72" s="19" t="s">
        <v>30</v>
      </c>
      <c r="N72" s="17" t="s">
        <v>475</v>
      </c>
      <c r="O72" s="21" t="n">
        <v>18</v>
      </c>
      <c r="P72" s="21" t="n">
        <v>10</v>
      </c>
      <c r="Q72" s="21" t="n">
        <v>0.6</v>
      </c>
      <c r="R72" s="21" t="n">
        <v>70</v>
      </c>
      <c r="S72" s="17" t="s">
        <v>465</v>
      </c>
      <c r="T72" s="17"/>
    </row>
    <row r="73" customFormat="false" ht="26.85" hidden="false" customHeight="false" outlineLevel="0" collapsed="false">
      <c r="A73" s="17" t="s">
        <v>476</v>
      </c>
      <c r="B73" s="17" t="s">
        <v>433</v>
      </c>
      <c r="C73" s="17" t="s">
        <v>450</v>
      </c>
      <c r="D73" s="18" t="n">
        <v>2</v>
      </c>
      <c r="E73" s="17" t="str">
        <f aca="false">B73&amp;" Mastery "&amp;INDEX(Tiers!$B$2:$B$6,MATCH(D73,Tiers!$A$2:$A$6,0))</f>
        <v>Air Mastery 150</v>
      </c>
      <c r="F73" s="19" t="s">
        <v>477</v>
      </c>
      <c r="G73" s="17" t="s">
        <v>55</v>
      </c>
      <c r="H73" s="17" t="s">
        <v>451</v>
      </c>
      <c r="I73" s="17" t="s">
        <v>26</v>
      </c>
      <c r="J73" s="20" t="s">
        <v>478</v>
      </c>
      <c r="K73" s="17" t="s">
        <v>453</v>
      </c>
      <c r="L73" s="17" t="s">
        <v>479</v>
      </c>
      <c r="M73" s="19" t="s">
        <v>50</v>
      </c>
      <c r="N73" s="17" t="s">
        <v>51</v>
      </c>
      <c r="O73" s="21" t="n">
        <v>15</v>
      </c>
      <c r="P73" s="21" t="n">
        <v>10</v>
      </c>
      <c r="Q73" s="21" t="n">
        <v>0.6</v>
      </c>
      <c r="R73" s="21" t="n">
        <v>70</v>
      </c>
      <c r="S73" s="17" t="s">
        <v>465</v>
      </c>
      <c r="T73" s="17"/>
    </row>
    <row r="74" customFormat="false" ht="26.85" hidden="false" customHeight="false" outlineLevel="0" collapsed="false">
      <c r="A74" s="17" t="s">
        <v>480</v>
      </c>
      <c r="B74" s="17" t="s">
        <v>433</v>
      </c>
      <c r="C74" s="17" t="s">
        <v>450</v>
      </c>
      <c r="D74" s="18" t="n">
        <v>2</v>
      </c>
      <c r="E74" s="17" t="str">
        <f aca="false">B74&amp;" Mastery "&amp;INDEX(Tiers!$B$2:$B$6,MATCH(D74,Tiers!$A$2:$A$6,0))</f>
        <v>Air Mastery 150</v>
      </c>
      <c r="F74" s="19" t="s">
        <v>481</v>
      </c>
      <c r="G74" s="17" t="s">
        <v>482</v>
      </c>
      <c r="H74" s="17" t="s">
        <v>451</v>
      </c>
      <c r="I74" s="17" t="s">
        <v>26</v>
      </c>
      <c r="J74" s="20" t="s">
        <v>483</v>
      </c>
      <c r="K74" s="17" t="s">
        <v>437</v>
      </c>
      <c r="L74" s="17" t="s">
        <v>484</v>
      </c>
      <c r="M74" s="19" t="s">
        <v>50</v>
      </c>
      <c r="N74" s="17" t="s">
        <v>485</v>
      </c>
      <c r="O74" s="21" t="n">
        <v>18</v>
      </c>
      <c r="P74" s="21" t="n">
        <v>10</v>
      </c>
      <c r="Q74" s="21" t="n">
        <v>0.6</v>
      </c>
      <c r="R74" s="21" t="n">
        <v>70</v>
      </c>
      <c r="S74" s="17" t="s">
        <v>465</v>
      </c>
      <c r="T74" s="17"/>
    </row>
    <row r="75" customFormat="false" ht="26.85" hidden="false" customHeight="false" outlineLevel="0" collapsed="false">
      <c r="A75" s="17" t="s">
        <v>486</v>
      </c>
      <c r="B75" s="17" t="s">
        <v>433</v>
      </c>
      <c r="C75" s="17" t="s">
        <v>434</v>
      </c>
      <c r="D75" s="18" t="n">
        <v>3</v>
      </c>
      <c r="E75" s="17" t="str">
        <f aca="false">B75&amp;" Mastery "&amp;INDEX(Tiers!$B$2:$B$6,MATCH(D75,Tiers!$A$2:$A$6,0))</f>
        <v>Air Mastery 350</v>
      </c>
      <c r="F75" s="19" t="s">
        <v>487</v>
      </c>
      <c r="G75" s="17" t="s">
        <v>403</v>
      </c>
      <c r="H75" s="17" t="s">
        <v>467</v>
      </c>
      <c r="I75" s="17" t="s">
        <v>26</v>
      </c>
      <c r="J75" s="20" t="s">
        <v>488</v>
      </c>
      <c r="K75" s="17" t="s">
        <v>437</v>
      </c>
      <c r="L75" s="17" t="s">
        <v>489</v>
      </c>
      <c r="M75" s="19" t="s">
        <v>43</v>
      </c>
      <c r="N75" s="17" t="s">
        <v>490</v>
      </c>
      <c r="O75" s="21" t="n">
        <v>25</v>
      </c>
      <c r="P75" s="21" t="n">
        <v>15</v>
      </c>
      <c r="Q75" s="21" t="n">
        <v>0.8</v>
      </c>
      <c r="R75" s="21" t="n">
        <v>100</v>
      </c>
      <c r="S75" s="17" t="s">
        <v>491</v>
      </c>
      <c r="T75" s="17"/>
    </row>
    <row r="76" customFormat="false" ht="26.85" hidden="false" customHeight="false" outlineLevel="0" collapsed="false">
      <c r="A76" s="17" t="s">
        <v>492</v>
      </c>
      <c r="B76" s="17" t="s">
        <v>433</v>
      </c>
      <c r="C76" s="17" t="s">
        <v>442</v>
      </c>
      <c r="D76" s="18" t="n">
        <v>3</v>
      </c>
      <c r="E76" s="17" t="str">
        <f aca="false">B76&amp;" Mastery "&amp;INDEX(Tiers!$B$2:$B$6,MATCH(D76,Tiers!$A$2:$A$6,0))</f>
        <v>Air Mastery 350</v>
      </c>
      <c r="F76" s="19" t="s">
        <v>493</v>
      </c>
      <c r="G76" s="17" t="s">
        <v>494</v>
      </c>
      <c r="H76" s="17" t="s">
        <v>443</v>
      </c>
      <c r="I76" s="17" t="s">
        <v>26</v>
      </c>
      <c r="J76" s="20" t="s">
        <v>495</v>
      </c>
      <c r="K76" s="17" t="s">
        <v>437</v>
      </c>
      <c r="L76" s="17" t="s">
        <v>496</v>
      </c>
      <c r="M76" s="19" t="s">
        <v>30</v>
      </c>
      <c r="N76" s="17" t="s">
        <v>321</v>
      </c>
      <c r="O76" s="21" t="n">
        <v>25</v>
      </c>
      <c r="P76" s="21" t="n">
        <v>15</v>
      </c>
      <c r="Q76" s="21" t="n">
        <v>0.8</v>
      </c>
      <c r="R76" s="21" t="n">
        <v>100</v>
      </c>
      <c r="S76" s="17" t="s">
        <v>491</v>
      </c>
      <c r="T76" s="17"/>
    </row>
    <row r="77" customFormat="false" ht="26.85" hidden="false" customHeight="false" outlineLevel="0" collapsed="false">
      <c r="A77" s="17" t="s">
        <v>497</v>
      </c>
      <c r="B77" s="17" t="s">
        <v>433</v>
      </c>
      <c r="C77" s="17" t="s">
        <v>442</v>
      </c>
      <c r="D77" s="18" t="n">
        <v>3</v>
      </c>
      <c r="E77" s="17" t="str">
        <f aca="false">B77&amp;" Mastery "&amp;INDEX(Tiers!$B$2:$B$6,MATCH(D77,Tiers!$A$2:$A$6,0))</f>
        <v>Air Mastery 350</v>
      </c>
      <c r="F77" s="19" t="s">
        <v>498</v>
      </c>
      <c r="G77" s="17" t="s">
        <v>403</v>
      </c>
      <c r="H77" s="17" t="s">
        <v>472</v>
      </c>
      <c r="I77" s="17" t="s">
        <v>26</v>
      </c>
      <c r="J77" s="20" t="s">
        <v>499</v>
      </c>
      <c r="K77" s="17" t="s">
        <v>437</v>
      </c>
      <c r="L77" s="17" t="s">
        <v>500</v>
      </c>
      <c r="M77" s="19" t="s">
        <v>30</v>
      </c>
      <c r="N77" s="17" t="s">
        <v>501</v>
      </c>
      <c r="O77" s="21" t="n">
        <v>30</v>
      </c>
      <c r="P77" s="21" t="n">
        <v>15</v>
      </c>
      <c r="Q77" s="21" t="n">
        <v>1.6</v>
      </c>
      <c r="R77" s="21" t="n">
        <v>100</v>
      </c>
      <c r="S77" s="17" t="s">
        <v>502</v>
      </c>
      <c r="T77" s="17"/>
    </row>
    <row r="78" customFormat="false" ht="26.85" hidden="false" customHeight="false" outlineLevel="0" collapsed="false">
      <c r="A78" s="17" t="s">
        <v>503</v>
      </c>
      <c r="B78" s="17" t="s">
        <v>433</v>
      </c>
      <c r="C78" s="17" t="s">
        <v>434</v>
      </c>
      <c r="D78" s="18" t="n">
        <v>3</v>
      </c>
      <c r="E78" s="17" t="str">
        <f aca="false">B78&amp;" Mastery "&amp;INDEX(Tiers!$B$2:$B$6,MATCH(D78,Tiers!$A$2:$A$6,0))</f>
        <v>Air Mastery 350</v>
      </c>
      <c r="F78" s="19" t="s">
        <v>504</v>
      </c>
      <c r="G78" s="17" t="s">
        <v>403</v>
      </c>
      <c r="H78" s="17" t="s">
        <v>505</v>
      </c>
      <c r="I78" s="17" t="s">
        <v>26</v>
      </c>
      <c r="J78" s="20" t="s">
        <v>506</v>
      </c>
      <c r="K78" s="17" t="s">
        <v>437</v>
      </c>
      <c r="L78" s="17" t="s">
        <v>507</v>
      </c>
      <c r="M78" s="19" t="s">
        <v>50</v>
      </c>
      <c r="N78" s="17" t="s">
        <v>508</v>
      </c>
      <c r="O78" s="21" t="n">
        <v>16</v>
      </c>
      <c r="P78" s="21" t="n">
        <v>15</v>
      </c>
      <c r="Q78" s="21" t="n">
        <v>0.8</v>
      </c>
      <c r="R78" s="21" t="n">
        <v>100</v>
      </c>
      <c r="S78" s="17" t="s">
        <v>491</v>
      </c>
      <c r="T78" s="17"/>
    </row>
    <row r="79" customFormat="false" ht="26.85" hidden="false" customHeight="false" outlineLevel="0" collapsed="false">
      <c r="A79" s="17" t="s">
        <v>509</v>
      </c>
      <c r="B79" s="17" t="s">
        <v>433</v>
      </c>
      <c r="C79" s="17" t="s">
        <v>450</v>
      </c>
      <c r="D79" s="18" t="n">
        <v>3</v>
      </c>
      <c r="E79" s="17" t="str">
        <f aca="false">B79&amp;" Mastery "&amp;INDEX(Tiers!$B$2:$B$6,MATCH(D79,Tiers!$A$2:$A$6,0))</f>
        <v>Air Mastery 350</v>
      </c>
      <c r="F79" s="19" t="s">
        <v>510</v>
      </c>
      <c r="G79" s="17" t="s">
        <v>482</v>
      </c>
      <c r="H79" s="17" t="s">
        <v>477</v>
      </c>
      <c r="I79" s="17" t="s">
        <v>26</v>
      </c>
      <c r="J79" s="20" t="s">
        <v>511</v>
      </c>
      <c r="K79" s="17" t="s">
        <v>437</v>
      </c>
      <c r="L79" s="17" t="s">
        <v>512</v>
      </c>
      <c r="M79" s="19" t="s">
        <v>58</v>
      </c>
      <c r="N79" s="17" t="s">
        <v>513</v>
      </c>
      <c r="O79" s="21" t="n">
        <v>15</v>
      </c>
      <c r="P79" s="21" t="n">
        <v>15</v>
      </c>
      <c r="Q79" s="21" t="n">
        <v>0.8</v>
      </c>
      <c r="R79" s="21" t="n">
        <v>100</v>
      </c>
      <c r="S79" s="17" t="s">
        <v>491</v>
      </c>
      <c r="T79" s="17"/>
    </row>
    <row r="80" customFormat="false" ht="26.85" hidden="false" customHeight="false" outlineLevel="0" collapsed="false">
      <c r="A80" s="17" t="s">
        <v>514</v>
      </c>
      <c r="B80" s="17" t="s">
        <v>433</v>
      </c>
      <c r="C80" s="17" t="s">
        <v>434</v>
      </c>
      <c r="D80" s="18" t="n">
        <v>4</v>
      </c>
      <c r="E80" s="17" t="str">
        <f aca="false">B80&amp;" Mastery "&amp;INDEX(Tiers!$B$2:$B$6,MATCH(D80,Tiers!$A$2:$A$6,0))</f>
        <v>Air Mastery 600</v>
      </c>
      <c r="F80" s="19" t="s">
        <v>515</v>
      </c>
      <c r="G80" s="17" t="s">
        <v>516</v>
      </c>
      <c r="H80" s="17" t="s">
        <v>487</v>
      </c>
      <c r="I80" s="17" t="s">
        <v>26</v>
      </c>
      <c r="J80" s="20" t="s">
        <v>517</v>
      </c>
      <c r="K80" s="17" t="s">
        <v>437</v>
      </c>
      <c r="L80" s="17" t="s">
        <v>518</v>
      </c>
      <c r="M80" s="19" t="s">
        <v>58</v>
      </c>
      <c r="N80" s="17" t="s">
        <v>519</v>
      </c>
      <c r="O80" s="21" t="n">
        <v>40</v>
      </c>
      <c r="P80" s="21" t="n">
        <v>25</v>
      </c>
      <c r="Q80" s="21" t="n">
        <v>2</v>
      </c>
      <c r="R80" s="21" t="n">
        <v>150</v>
      </c>
      <c r="S80" s="17" t="s">
        <v>520</v>
      </c>
      <c r="T80" s="17"/>
    </row>
    <row r="81" customFormat="false" ht="26.85" hidden="false" customHeight="false" outlineLevel="0" collapsed="false">
      <c r="A81" s="17" t="s">
        <v>521</v>
      </c>
      <c r="B81" s="17" t="s">
        <v>433</v>
      </c>
      <c r="C81" s="17" t="s">
        <v>442</v>
      </c>
      <c r="D81" s="18" t="n">
        <v>4</v>
      </c>
      <c r="E81" s="17" t="str">
        <f aca="false">B81&amp;" Mastery "&amp;INDEX(Tiers!$B$2:$B$6,MATCH(D81,Tiers!$A$2:$A$6,0))</f>
        <v>Air Mastery 600</v>
      </c>
      <c r="F81" s="19" t="s">
        <v>522</v>
      </c>
      <c r="G81" s="17" t="s">
        <v>403</v>
      </c>
      <c r="H81" s="17" t="s">
        <v>498</v>
      </c>
      <c r="I81" s="17" t="s">
        <v>26</v>
      </c>
      <c r="J81" s="20" t="s">
        <v>523</v>
      </c>
      <c r="K81" s="17" t="s">
        <v>437</v>
      </c>
      <c r="L81" s="17" t="s">
        <v>524</v>
      </c>
      <c r="M81" s="19" t="s">
        <v>30</v>
      </c>
      <c r="N81" s="17" t="s">
        <v>525</v>
      </c>
      <c r="O81" s="21" t="n">
        <v>30</v>
      </c>
      <c r="P81" s="21" t="n">
        <v>25</v>
      </c>
      <c r="Q81" s="21" t="n">
        <v>2</v>
      </c>
      <c r="R81" s="21" t="n">
        <v>150</v>
      </c>
      <c r="S81" s="17" t="s">
        <v>520</v>
      </c>
      <c r="T81" s="17"/>
    </row>
    <row r="82" customFormat="false" ht="26.85" hidden="false" customHeight="false" outlineLevel="0" collapsed="false">
      <c r="A82" s="17" t="s">
        <v>526</v>
      </c>
      <c r="B82" s="17" t="s">
        <v>433</v>
      </c>
      <c r="C82" s="17" t="s">
        <v>434</v>
      </c>
      <c r="D82" s="18" t="n">
        <v>4</v>
      </c>
      <c r="E82" s="17" t="str">
        <f aca="false">B82&amp;" Mastery "&amp;INDEX(Tiers!$B$2:$B$6,MATCH(D82,Tiers!$A$2:$A$6,0))</f>
        <v>Air Mastery 600</v>
      </c>
      <c r="F82" s="19" t="s">
        <v>527</v>
      </c>
      <c r="G82" s="17" t="s">
        <v>528</v>
      </c>
      <c r="H82" s="17" t="s">
        <v>529</v>
      </c>
      <c r="I82" s="17" t="s">
        <v>26</v>
      </c>
      <c r="J82" s="20" t="s">
        <v>530</v>
      </c>
      <c r="K82" s="17" t="s">
        <v>437</v>
      </c>
      <c r="L82" s="17" t="s">
        <v>531</v>
      </c>
      <c r="M82" s="19" t="s">
        <v>58</v>
      </c>
      <c r="N82" s="17" t="s">
        <v>400</v>
      </c>
      <c r="O82" s="21" t="n">
        <v>35</v>
      </c>
      <c r="P82" s="21" t="n">
        <v>25</v>
      </c>
      <c r="Q82" s="21" t="n">
        <v>2</v>
      </c>
      <c r="R82" s="21" t="n">
        <v>150</v>
      </c>
      <c r="S82" s="17" t="s">
        <v>520</v>
      </c>
      <c r="T82" s="17"/>
    </row>
    <row r="83" customFormat="false" ht="26.85" hidden="false" customHeight="false" outlineLevel="0" collapsed="false">
      <c r="A83" s="17" t="s">
        <v>532</v>
      </c>
      <c r="B83" s="17" t="s">
        <v>433</v>
      </c>
      <c r="C83" s="17" t="s">
        <v>442</v>
      </c>
      <c r="D83" s="18" t="n">
        <v>4</v>
      </c>
      <c r="E83" s="17" t="str">
        <f aca="false">B83&amp;" Mastery "&amp;INDEX(Tiers!$B$2:$B$6,MATCH(D83,Tiers!$A$2:$A$6,0))</f>
        <v>Air Mastery 600</v>
      </c>
      <c r="F83" s="19" t="s">
        <v>533</v>
      </c>
      <c r="G83" s="17" t="s">
        <v>516</v>
      </c>
      <c r="H83" s="17" t="s">
        <v>498</v>
      </c>
      <c r="I83" s="17" t="s">
        <v>26</v>
      </c>
      <c r="J83" s="20" t="s">
        <v>534</v>
      </c>
      <c r="K83" s="17" t="s">
        <v>437</v>
      </c>
      <c r="L83" s="17" t="s">
        <v>535</v>
      </c>
      <c r="M83" s="19" t="s">
        <v>50</v>
      </c>
      <c r="N83" s="17" t="s">
        <v>206</v>
      </c>
      <c r="O83" s="21" t="n">
        <v>35</v>
      </c>
      <c r="P83" s="21" t="n">
        <v>25</v>
      </c>
      <c r="Q83" s="21" t="n">
        <v>2</v>
      </c>
      <c r="R83" s="21" t="n">
        <v>150</v>
      </c>
      <c r="S83" s="17" t="s">
        <v>520</v>
      </c>
      <c r="T83" s="17"/>
    </row>
    <row r="84" customFormat="false" ht="26.85" hidden="false" customHeight="false" outlineLevel="0" collapsed="false">
      <c r="A84" s="17" t="s">
        <v>536</v>
      </c>
      <c r="B84" s="17" t="s">
        <v>433</v>
      </c>
      <c r="C84" s="17" t="s">
        <v>450</v>
      </c>
      <c r="D84" s="18" t="n">
        <v>4</v>
      </c>
      <c r="E84" s="17" t="str">
        <f aca="false">B84&amp;" Mastery "&amp;INDEX(Tiers!$B$2:$B$6,MATCH(D84,Tiers!$A$2:$A$6,0))</f>
        <v>Air Mastery 600</v>
      </c>
      <c r="F84" s="19" t="s">
        <v>537</v>
      </c>
      <c r="G84" s="17" t="s">
        <v>55</v>
      </c>
      <c r="H84" s="17" t="s">
        <v>510</v>
      </c>
      <c r="I84" s="17" t="s">
        <v>26</v>
      </c>
      <c r="J84" s="20" t="s">
        <v>538</v>
      </c>
      <c r="K84" s="17" t="s">
        <v>453</v>
      </c>
      <c r="L84" s="17" t="s">
        <v>539</v>
      </c>
      <c r="M84" s="19" t="s">
        <v>50</v>
      </c>
      <c r="N84" s="17" t="s">
        <v>51</v>
      </c>
      <c r="O84" s="21" t="n">
        <v>40</v>
      </c>
      <c r="P84" s="21" t="n">
        <v>25</v>
      </c>
      <c r="Q84" s="21" t="n">
        <v>2</v>
      </c>
      <c r="R84" s="21" t="n">
        <v>150</v>
      </c>
      <c r="S84" s="17" t="s">
        <v>520</v>
      </c>
      <c r="T84" s="17"/>
    </row>
    <row r="85" customFormat="false" ht="26.85" hidden="false" customHeight="false" outlineLevel="0" collapsed="false">
      <c r="A85" s="17" t="s">
        <v>540</v>
      </c>
      <c r="B85" s="17" t="s">
        <v>433</v>
      </c>
      <c r="C85" s="17" t="s">
        <v>450</v>
      </c>
      <c r="D85" s="18" t="n">
        <v>5</v>
      </c>
      <c r="E85" s="17" t="str">
        <f aca="false">B85&amp;" Mastery "&amp;INDEX(Tiers!$B$2:$B$6,MATCH(D85,Tiers!$A$2:$A$6,0))</f>
        <v>Air Mastery 900</v>
      </c>
      <c r="F85" s="19" t="s">
        <v>541</v>
      </c>
      <c r="G85" s="17" t="s">
        <v>542</v>
      </c>
      <c r="H85" s="17" t="s">
        <v>537</v>
      </c>
      <c r="I85" s="17" t="s">
        <v>26</v>
      </c>
      <c r="J85" s="20" t="s">
        <v>543</v>
      </c>
      <c r="K85" s="17" t="s">
        <v>453</v>
      </c>
      <c r="L85" s="17" t="s">
        <v>544</v>
      </c>
      <c r="M85" s="19" t="s">
        <v>50</v>
      </c>
      <c r="N85" s="17" t="s">
        <v>545</v>
      </c>
      <c r="O85" s="21" t="n">
        <v>90</v>
      </c>
      <c r="P85" s="21" t="n">
        <v>50</v>
      </c>
      <c r="Q85" s="21" t="n">
        <v>10</v>
      </c>
      <c r="R85" s="21" t="n">
        <v>200</v>
      </c>
      <c r="S85" s="17" t="s">
        <v>546</v>
      </c>
      <c r="T85" s="17"/>
    </row>
    <row r="86" customFormat="false" ht="26.85" hidden="false" customHeight="false" outlineLevel="0" collapsed="false">
      <c r="A86" s="17" t="s">
        <v>547</v>
      </c>
      <c r="B86" s="17" t="s">
        <v>433</v>
      </c>
      <c r="C86" s="17" t="s">
        <v>434</v>
      </c>
      <c r="D86" s="18" t="n">
        <v>5</v>
      </c>
      <c r="E86" s="17" t="str">
        <f aca="false">B86&amp;" Mastery "&amp;INDEX(Tiers!$B$2:$B$6,MATCH(D86,Tiers!$A$2:$A$6,0))</f>
        <v>Air Mastery 900</v>
      </c>
      <c r="F86" s="19" t="s">
        <v>548</v>
      </c>
      <c r="G86" s="17" t="s">
        <v>516</v>
      </c>
      <c r="H86" s="17" t="s">
        <v>549</v>
      </c>
      <c r="I86" s="17" t="s">
        <v>26</v>
      </c>
      <c r="J86" s="20" t="s">
        <v>550</v>
      </c>
      <c r="K86" s="17" t="s">
        <v>437</v>
      </c>
      <c r="L86" s="17" t="s">
        <v>551</v>
      </c>
      <c r="M86" s="19" t="s">
        <v>58</v>
      </c>
      <c r="N86" s="17" t="s">
        <v>552</v>
      </c>
      <c r="O86" s="21" t="n">
        <v>120</v>
      </c>
      <c r="P86" s="21" t="n">
        <v>50</v>
      </c>
      <c r="Q86" s="21" t="n">
        <v>10</v>
      </c>
      <c r="R86" s="21" t="n">
        <v>200</v>
      </c>
      <c r="S86" s="17" t="s">
        <v>546</v>
      </c>
      <c r="T86" s="17"/>
    </row>
    <row r="87" customFormat="false" ht="26.85" hidden="false" customHeight="false" outlineLevel="0" collapsed="false">
      <c r="A87" s="22" t="s">
        <v>553</v>
      </c>
      <c r="B87" s="22" t="s">
        <v>554</v>
      </c>
      <c r="C87" s="22" t="s">
        <v>555</v>
      </c>
      <c r="D87" s="23" t="n">
        <v>1</v>
      </c>
      <c r="E87" s="22" t="str">
        <f aca="false">B87&amp;" Mastery "&amp;INDEX(Tiers!$B$2:$B$6,MATCH(D87,Tiers!$A$2:$A$6,0))</f>
        <v>Sword Mastery 0</v>
      </c>
      <c r="F87" s="24" t="s">
        <v>556</v>
      </c>
      <c r="G87" s="22" t="s">
        <v>24</v>
      </c>
      <c r="H87" s="22" t="s">
        <v>25</v>
      </c>
      <c r="I87" s="22" t="s">
        <v>554</v>
      </c>
      <c r="J87" s="25" t="s">
        <v>557</v>
      </c>
      <c r="K87" s="22" t="s">
        <v>558</v>
      </c>
      <c r="L87" s="22" t="s">
        <v>559</v>
      </c>
      <c r="M87" s="24" t="s">
        <v>30</v>
      </c>
      <c r="N87" s="22" t="s">
        <v>560</v>
      </c>
      <c r="O87" s="26" t="n">
        <v>2</v>
      </c>
      <c r="P87" s="26" t="n">
        <v>5</v>
      </c>
      <c r="Q87" s="26" t="n">
        <v>0.2</v>
      </c>
      <c r="R87" s="26" t="n">
        <v>50</v>
      </c>
      <c r="S87" s="22" t="s">
        <v>561</v>
      </c>
      <c r="T87" s="22"/>
    </row>
    <row r="88" customFormat="false" ht="26.85" hidden="false" customHeight="false" outlineLevel="0" collapsed="false">
      <c r="A88" s="22" t="s">
        <v>562</v>
      </c>
      <c r="B88" s="22" t="s">
        <v>554</v>
      </c>
      <c r="C88" s="22" t="s">
        <v>555</v>
      </c>
      <c r="D88" s="23" t="n">
        <v>1</v>
      </c>
      <c r="E88" s="22" t="str">
        <f aca="false">B88&amp;" Mastery "&amp;INDEX(Tiers!$B$2:$B$6,MATCH(D88,Tiers!$A$2:$A$6,0))</f>
        <v>Sword Mastery 0</v>
      </c>
      <c r="F88" s="24" t="s">
        <v>563</v>
      </c>
      <c r="G88" s="22" t="s">
        <v>24</v>
      </c>
      <c r="H88" s="22" t="s">
        <v>25</v>
      </c>
      <c r="I88" s="22" t="s">
        <v>554</v>
      </c>
      <c r="J88" s="25" t="s">
        <v>564</v>
      </c>
      <c r="K88" s="22" t="s">
        <v>558</v>
      </c>
      <c r="L88" s="22" t="s">
        <v>565</v>
      </c>
      <c r="M88" s="24" t="s">
        <v>43</v>
      </c>
      <c r="N88" s="22" t="s">
        <v>566</v>
      </c>
      <c r="O88" s="26" t="n">
        <v>4</v>
      </c>
      <c r="P88" s="26" t="n">
        <v>5</v>
      </c>
      <c r="Q88" s="26" t="n">
        <v>0.2</v>
      </c>
      <c r="R88" s="26" t="n">
        <v>50</v>
      </c>
      <c r="S88" s="22" t="s">
        <v>561</v>
      </c>
      <c r="T88" s="22"/>
    </row>
    <row r="89" customFormat="false" ht="26.85" hidden="false" customHeight="false" outlineLevel="0" collapsed="false">
      <c r="A89" s="22" t="s">
        <v>567</v>
      </c>
      <c r="B89" s="22" t="s">
        <v>554</v>
      </c>
      <c r="C89" s="22" t="s">
        <v>568</v>
      </c>
      <c r="D89" s="23" t="n">
        <v>1</v>
      </c>
      <c r="E89" s="22" t="str">
        <f aca="false">B89&amp;" Mastery "&amp;INDEX(Tiers!$B$2:$B$6,MATCH(D89,Tiers!$A$2:$A$6,0))</f>
        <v>Sword Mastery 0</v>
      </c>
      <c r="F89" s="24" t="s">
        <v>569</v>
      </c>
      <c r="G89" s="22" t="s">
        <v>570</v>
      </c>
      <c r="H89" s="22" t="s">
        <v>25</v>
      </c>
      <c r="I89" s="22" t="s">
        <v>554</v>
      </c>
      <c r="J89" s="25" t="s">
        <v>571</v>
      </c>
      <c r="K89" s="22" t="s">
        <v>572</v>
      </c>
      <c r="L89" s="22" t="s">
        <v>573</v>
      </c>
      <c r="M89" s="24" t="s">
        <v>50</v>
      </c>
      <c r="N89" s="22" t="s">
        <v>574</v>
      </c>
      <c r="O89" s="26" t="n">
        <v>8</v>
      </c>
      <c r="P89" s="26" t="n">
        <v>5</v>
      </c>
      <c r="Q89" s="26" t="n">
        <v>0.2</v>
      </c>
      <c r="R89" s="26" t="n">
        <v>50</v>
      </c>
      <c r="S89" s="22" t="s">
        <v>561</v>
      </c>
      <c r="T89" s="22"/>
    </row>
    <row r="90" customFormat="false" ht="26.85" hidden="false" customHeight="false" outlineLevel="0" collapsed="false">
      <c r="A90" s="22" t="s">
        <v>575</v>
      </c>
      <c r="B90" s="22" t="s">
        <v>554</v>
      </c>
      <c r="C90" s="22" t="s">
        <v>576</v>
      </c>
      <c r="D90" s="23" t="n">
        <v>1</v>
      </c>
      <c r="E90" s="22" t="str">
        <f aca="false">B90&amp;" Mastery "&amp;INDEX(Tiers!$B$2:$B$6,MATCH(D90,Tiers!$A$2:$A$6,0))</f>
        <v>Sword Mastery 0</v>
      </c>
      <c r="F90" s="24" t="s">
        <v>577</v>
      </c>
      <c r="G90" s="22" t="s">
        <v>482</v>
      </c>
      <c r="H90" s="22" t="s">
        <v>25</v>
      </c>
      <c r="I90" s="22" t="s">
        <v>554</v>
      </c>
      <c r="J90" s="25" t="s">
        <v>578</v>
      </c>
      <c r="K90" s="22" t="s">
        <v>558</v>
      </c>
      <c r="L90" s="22" t="s">
        <v>579</v>
      </c>
      <c r="M90" s="24" t="s">
        <v>30</v>
      </c>
      <c r="N90" s="22" t="s">
        <v>580</v>
      </c>
      <c r="O90" s="26" t="n">
        <v>8</v>
      </c>
      <c r="P90" s="26" t="n">
        <v>5</v>
      </c>
      <c r="Q90" s="26" t="n">
        <v>0.2</v>
      </c>
      <c r="R90" s="26" t="n">
        <v>50</v>
      </c>
      <c r="S90" s="22" t="s">
        <v>561</v>
      </c>
      <c r="T90" s="22"/>
    </row>
    <row r="91" customFormat="false" ht="39.55" hidden="false" customHeight="false" outlineLevel="0" collapsed="false">
      <c r="A91" s="22" t="s">
        <v>581</v>
      </c>
      <c r="B91" s="22" t="s">
        <v>554</v>
      </c>
      <c r="C91" s="22" t="s">
        <v>555</v>
      </c>
      <c r="D91" s="23" t="n">
        <v>2</v>
      </c>
      <c r="E91" s="22" t="str">
        <f aca="false">B91&amp;" Mastery "&amp;INDEX(Tiers!$B$2:$B$6,MATCH(D91,Tiers!$A$2:$A$6,0))</f>
        <v>Sword Mastery 150</v>
      </c>
      <c r="F91" s="24" t="s">
        <v>582</v>
      </c>
      <c r="G91" s="22" t="s">
        <v>24</v>
      </c>
      <c r="H91" s="22" t="s">
        <v>556</v>
      </c>
      <c r="I91" s="22" t="s">
        <v>554</v>
      </c>
      <c r="J91" s="25" t="s">
        <v>583</v>
      </c>
      <c r="K91" s="22" t="s">
        <v>558</v>
      </c>
      <c r="L91" s="22" t="s">
        <v>584</v>
      </c>
      <c r="M91" s="24" t="s">
        <v>30</v>
      </c>
      <c r="N91" s="22" t="s">
        <v>560</v>
      </c>
      <c r="O91" s="26" t="n">
        <v>5</v>
      </c>
      <c r="P91" s="26" t="n">
        <v>10</v>
      </c>
      <c r="Q91" s="26" t="n">
        <v>0.3</v>
      </c>
      <c r="R91" s="26" t="n">
        <v>70</v>
      </c>
      <c r="S91" s="22" t="s">
        <v>585</v>
      </c>
      <c r="T91" s="22"/>
    </row>
    <row r="92" customFormat="false" ht="39.55" hidden="false" customHeight="false" outlineLevel="0" collapsed="false">
      <c r="A92" s="22" t="s">
        <v>586</v>
      </c>
      <c r="B92" s="22" t="s">
        <v>554</v>
      </c>
      <c r="C92" s="22" t="s">
        <v>568</v>
      </c>
      <c r="D92" s="23" t="n">
        <v>2</v>
      </c>
      <c r="E92" s="22" t="str">
        <f aca="false">B92&amp;" Mastery "&amp;INDEX(Tiers!$B$2:$B$6,MATCH(D92,Tiers!$A$2:$A$6,0))</f>
        <v>Sword Mastery 150</v>
      </c>
      <c r="F92" s="24" t="s">
        <v>587</v>
      </c>
      <c r="G92" s="22" t="s">
        <v>141</v>
      </c>
      <c r="H92" s="22" t="s">
        <v>569</v>
      </c>
      <c r="I92" s="22" t="s">
        <v>554</v>
      </c>
      <c r="J92" s="25" t="s">
        <v>588</v>
      </c>
      <c r="K92" s="22" t="s">
        <v>558</v>
      </c>
      <c r="L92" s="22" t="s">
        <v>589</v>
      </c>
      <c r="M92" s="24" t="s">
        <v>50</v>
      </c>
      <c r="N92" s="22" t="s">
        <v>590</v>
      </c>
      <c r="O92" s="26" t="n">
        <v>10</v>
      </c>
      <c r="P92" s="26" t="n">
        <v>10</v>
      </c>
      <c r="Q92" s="26" t="n">
        <v>0.6</v>
      </c>
      <c r="R92" s="26" t="n">
        <v>70</v>
      </c>
      <c r="S92" s="22" t="s">
        <v>591</v>
      </c>
      <c r="T92" s="22"/>
    </row>
    <row r="93" customFormat="false" ht="39.55" hidden="false" customHeight="false" outlineLevel="0" collapsed="false">
      <c r="A93" s="22" t="s">
        <v>592</v>
      </c>
      <c r="B93" s="22" t="s">
        <v>554</v>
      </c>
      <c r="C93" s="22" t="s">
        <v>555</v>
      </c>
      <c r="D93" s="23" t="n">
        <v>2</v>
      </c>
      <c r="E93" s="22" t="str">
        <f aca="false">B93&amp;" Mastery "&amp;INDEX(Tiers!$B$2:$B$6,MATCH(D93,Tiers!$A$2:$A$6,0))</f>
        <v>Sword Mastery 150</v>
      </c>
      <c r="F93" s="24" t="s">
        <v>593</v>
      </c>
      <c r="G93" s="22" t="s">
        <v>594</v>
      </c>
      <c r="H93" s="22" t="s">
        <v>556</v>
      </c>
      <c r="I93" s="22" t="s">
        <v>554</v>
      </c>
      <c r="J93" s="25" t="s">
        <v>595</v>
      </c>
      <c r="K93" s="22" t="s">
        <v>558</v>
      </c>
      <c r="L93" s="22" t="s">
        <v>596</v>
      </c>
      <c r="M93" s="24" t="s">
        <v>30</v>
      </c>
      <c r="N93" s="22" t="s">
        <v>560</v>
      </c>
      <c r="O93" s="26" t="n">
        <v>8</v>
      </c>
      <c r="P93" s="26" t="n">
        <v>10</v>
      </c>
      <c r="Q93" s="26" t="n">
        <v>0.3</v>
      </c>
      <c r="R93" s="26" t="n">
        <v>70</v>
      </c>
      <c r="S93" s="22" t="s">
        <v>585</v>
      </c>
      <c r="T93" s="22"/>
    </row>
    <row r="94" customFormat="false" ht="39.55" hidden="false" customHeight="false" outlineLevel="0" collapsed="false">
      <c r="A94" s="22" t="s">
        <v>597</v>
      </c>
      <c r="B94" s="22" t="s">
        <v>554</v>
      </c>
      <c r="C94" s="22" t="s">
        <v>555</v>
      </c>
      <c r="D94" s="23" t="n">
        <v>2</v>
      </c>
      <c r="E94" s="22" t="str">
        <f aca="false">B94&amp;" Mastery "&amp;INDEX(Tiers!$B$2:$B$6,MATCH(D94,Tiers!$A$2:$A$6,0))</f>
        <v>Sword Mastery 150</v>
      </c>
      <c r="F94" s="24" t="s">
        <v>598</v>
      </c>
      <c r="G94" s="22" t="s">
        <v>24</v>
      </c>
      <c r="H94" s="22" t="s">
        <v>563</v>
      </c>
      <c r="I94" s="22" t="s">
        <v>554</v>
      </c>
      <c r="J94" s="25" t="s">
        <v>599</v>
      </c>
      <c r="K94" s="22" t="s">
        <v>558</v>
      </c>
      <c r="L94" s="22" t="s">
        <v>600</v>
      </c>
      <c r="M94" s="24" t="s">
        <v>43</v>
      </c>
      <c r="N94" s="22" t="s">
        <v>601</v>
      </c>
      <c r="O94" s="26" t="n">
        <v>8</v>
      </c>
      <c r="P94" s="26" t="n">
        <v>10</v>
      </c>
      <c r="Q94" s="26" t="n">
        <v>0.3</v>
      </c>
      <c r="R94" s="26" t="n">
        <v>70</v>
      </c>
      <c r="S94" s="22" t="s">
        <v>585</v>
      </c>
      <c r="T94" s="22"/>
    </row>
    <row r="95" customFormat="false" ht="39.55" hidden="false" customHeight="false" outlineLevel="0" collapsed="false">
      <c r="A95" s="22" t="s">
        <v>602</v>
      </c>
      <c r="B95" s="22" t="s">
        <v>554</v>
      </c>
      <c r="C95" s="22" t="s">
        <v>576</v>
      </c>
      <c r="D95" s="23" t="n">
        <v>2</v>
      </c>
      <c r="E95" s="22" t="str">
        <f aca="false">B95&amp;" Mastery "&amp;INDEX(Tiers!$B$2:$B$6,MATCH(D95,Tiers!$A$2:$A$6,0))</f>
        <v>Sword Mastery 150</v>
      </c>
      <c r="F95" s="24" t="s">
        <v>603</v>
      </c>
      <c r="G95" s="22" t="s">
        <v>102</v>
      </c>
      <c r="H95" s="22" t="s">
        <v>577</v>
      </c>
      <c r="I95" s="22" t="s">
        <v>554</v>
      </c>
      <c r="J95" s="25" t="s">
        <v>604</v>
      </c>
      <c r="K95" s="22" t="s">
        <v>605</v>
      </c>
      <c r="L95" s="22" t="s">
        <v>606</v>
      </c>
      <c r="M95" s="24" t="s">
        <v>30</v>
      </c>
      <c r="N95" s="22" t="s">
        <v>560</v>
      </c>
      <c r="O95" s="26" t="n">
        <v>12</v>
      </c>
      <c r="P95" s="26" t="n">
        <v>10</v>
      </c>
      <c r="Q95" s="26" t="n">
        <v>0.6</v>
      </c>
      <c r="R95" s="26" t="n">
        <v>70</v>
      </c>
      <c r="S95" s="22" t="s">
        <v>591</v>
      </c>
      <c r="T95" s="22"/>
    </row>
    <row r="96" customFormat="false" ht="39.55" hidden="false" customHeight="false" outlineLevel="0" collapsed="false">
      <c r="A96" s="22" t="s">
        <v>607</v>
      </c>
      <c r="B96" s="22" t="s">
        <v>554</v>
      </c>
      <c r="C96" s="22" t="s">
        <v>555</v>
      </c>
      <c r="D96" s="23" t="n">
        <v>3</v>
      </c>
      <c r="E96" s="22" t="str">
        <f aca="false">B96&amp;" Mastery "&amp;INDEX(Tiers!$B$2:$B$6,MATCH(D96,Tiers!$A$2:$A$6,0))</f>
        <v>Sword Mastery 350</v>
      </c>
      <c r="F96" s="24" t="s">
        <v>608</v>
      </c>
      <c r="G96" s="22" t="s">
        <v>24</v>
      </c>
      <c r="H96" s="22" t="s">
        <v>582</v>
      </c>
      <c r="I96" s="22" t="s">
        <v>554</v>
      </c>
      <c r="J96" s="25" t="s">
        <v>609</v>
      </c>
      <c r="K96" s="22" t="s">
        <v>558</v>
      </c>
      <c r="L96" s="22" t="s">
        <v>610</v>
      </c>
      <c r="M96" s="24" t="s">
        <v>30</v>
      </c>
      <c r="N96" s="22" t="s">
        <v>611</v>
      </c>
      <c r="O96" s="26" t="n">
        <v>12</v>
      </c>
      <c r="P96" s="26" t="n">
        <v>15</v>
      </c>
      <c r="Q96" s="26" t="n">
        <v>0.8</v>
      </c>
      <c r="R96" s="26" t="n">
        <v>100</v>
      </c>
      <c r="S96" s="22" t="s">
        <v>612</v>
      </c>
      <c r="T96" s="22"/>
    </row>
    <row r="97" customFormat="false" ht="39.55" hidden="false" customHeight="false" outlineLevel="0" collapsed="false">
      <c r="A97" s="22" t="s">
        <v>613</v>
      </c>
      <c r="B97" s="22" t="s">
        <v>554</v>
      </c>
      <c r="C97" s="22" t="s">
        <v>568</v>
      </c>
      <c r="D97" s="23" t="n">
        <v>3</v>
      </c>
      <c r="E97" s="22" t="str">
        <f aca="false">B97&amp;" Mastery "&amp;INDEX(Tiers!$B$2:$B$6,MATCH(D97,Tiers!$A$2:$A$6,0))</f>
        <v>Sword Mastery 350</v>
      </c>
      <c r="F97" s="24" t="s">
        <v>614</v>
      </c>
      <c r="G97" s="22" t="s">
        <v>102</v>
      </c>
      <c r="H97" s="22" t="s">
        <v>587</v>
      </c>
      <c r="I97" s="22" t="s">
        <v>554</v>
      </c>
      <c r="J97" s="25" t="s">
        <v>615</v>
      </c>
      <c r="K97" s="22" t="s">
        <v>605</v>
      </c>
      <c r="L97" s="22" t="s">
        <v>616</v>
      </c>
      <c r="M97" s="24" t="s">
        <v>30</v>
      </c>
      <c r="N97" s="22" t="s">
        <v>560</v>
      </c>
      <c r="O97" s="26" t="n">
        <v>18</v>
      </c>
      <c r="P97" s="26" t="n">
        <v>15</v>
      </c>
      <c r="Q97" s="26" t="n">
        <v>0.8</v>
      </c>
      <c r="R97" s="26" t="n">
        <v>100</v>
      </c>
      <c r="S97" s="22" t="s">
        <v>612</v>
      </c>
      <c r="T97" s="22"/>
    </row>
    <row r="98" customFormat="false" ht="39.55" hidden="false" customHeight="false" outlineLevel="0" collapsed="false">
      <c r="A98" s="22" t="s">
        <v>617</v>
      </c>
      <c r="B98" s="22" t="s">
        <v>554</v>
      </c>
      <c r="C98" s="22" t="s">
        <v>555</v>
      </c>
      <c r="D98" s="23" t="n">
        <v>3</v>
      </c>
      <c r="E98" s="22" t="str">
        <f aca="false">B98&amp;" Mastery "&amp;INDEX(Tiers!$B$2:$B$6,MATCH(D98,Tiers!$A$2:$A$6,0))</f>
        <v>Sword Mastery 350</v>
      </c>
      <c r="F98" s="24" t="s">
        <v>618</v>
      </c>
      <c r="G98" s="22" t="s">
        <v>128</v>
      </c>
      <c r="H98" s="22" t="s">
        <v>593</v>
      </c>
      <c r="I98" s="22" t="s">
        <v>554</v>
      </c>
      <c r="J98" s="25" t="s">
        <v>619</v>
      </c>
      <c r="K98" s="22" t="s">
        <v>558</v>
      </c>
      <c r="L98" s="22" t="s">
        <v>620</v>
      </c>
      <c r="M98" s="24" t="s">
        <v>30</v>
      </c>
      <c r="N98" s="22" t="s">
        <v>621</v>
      </c>
      <c r="O98" s="26" t="n">
        <v>15</v>
      </c>
      <c r="P98" s="26" t="n">
        <v>15</v>
      </c>
      <c r="Q98" s="26" t="n">
        <v>0.8</v>
      </c>
      <c r="R98" s="26" t="n">
        <v>100</v>
      </c>
      <c r="S98" s="22" t="s">
        <v>612</v>
      </c>
      <c r="T98" s="22"/>
    </row>
    <row r="99" customFormat="false" ht="39.55" hidden="false" customHeight="false" outlineLevel="0" collapsed="false">
      <c r="A99" s="22" t="s">
        <v>622</v>
      </c>
      <c r="B99" s="22" t="s">
        <v>554</v>
      </c>
      <c r="C99" s="22" t="s">
        <v>576</v>
      </c>
      <c r="D99" s="23" t="n">
        <v>3</v>
      </c>
      <c r="E99" s="22" t="str">
        <f aca="false">B99&amp;" Mastery "&amp;INDEX(Tiers!$B$2:$B$6,MATCH(D99,Tiers!$A$2:$A$6,0))</f>
        <v>Sword Mastery 350</v>
      </c>
      <c r="F99" s="24" t="s">
        <v>623</v>
      </c>
      <c r="G99" s="22" t="s">
        <v>482</v>
      </c>
      <c r="H99" s="22" t="s">
        <v>603</v>
      </c>
      <c r="I99" s="22" t="s">
        <v>554</v>
      </c>
      <c r="J99" s="25" t="s">
        <v>624</v>
      </c>
      <c r="K99" s="22" t="s">
        <v>558</v>
      </c>
      <c r="L99" s="22" t="s">
        <v>625</v>
      </c>
      <c r="M99" s="24" t="s">
        <v>58</v>
      </c>
      <c r="N99" s="22" t="s">
        <v>626</v>
      </c>
      <c r="O99" s="26" t="n">
        <v>14</v>
      </c>
      <c r="P99" s="26" t="n">
        <v>15</v>
      </c>
      <c r="Q99" s="26" t="n">
        <v>0.8</v>
      </c>
      <c r="R99" s="26" t="n">
        <v>100</v>
      </c>
      <c r="S99" s="22" t="s">
        <v>612</v>
      </c>
      <c r="T99" s="22"/>
    </row>
    <row r="100" customFormat="false" ht="39.55" hidden="false" customHeight="false" outlineLevel="0" collapsed="false">
      <c r="A100" s="22" t="s">
        <v>627</v>
      </c>
      <c r="B100" s="22" t="s">
        <v>554</v>
      </c>
      <c r="C100" s="22" t="s">
        <v>568</v>
      </c>
      <c r="D100" s="23" t="n">
        <v>3</v>
      </c>
      <c r="E100" s="22" t="str">
        <f aca="false">B100&amp;" Mastery "&amp;INDEX(Tiers!$B$2:$B$6,MATCH(D100,Tiers!$A$2:$A$6,0))</f>
        <v>Sword Mastery 350</v>
      </c>
      <c r="F100" s="24" t="s">
        <v>628</v>
      </c>
      <c r="G100" s="22" t="s">
        <v>47</v>
      </c>
      <c r="H100" s="22" t="s">
        <v>569</v>
      </c>
      <c r="I100" s="22" t="s">
        <v>554</v>
      </c>
      <c r="J100" s="25" t="s">
        <v>629</v>
      </c>
      <c r="K100" s="22" t="s">
        <v>630</v>
      </c>
      <c r="L100" s="22" t="s">
        <v>631</v>
      </c>
      <c r="M100" s="24" t="s">
        <v>50</v>
      </c>
      <c r="N100" s="22" t="s">
        <v>51</v>
      </c>
      <c r="O100" s="26" t="n">
        <v>25</v>
      </c>
      <c r="P100" s="26" t="n">
        <v>15</v>
      </c>
      <c r="Q100" s="26" t="n">
        <v>0.8</v>
      </c>
      <c r="R100" s="26" t="n">
        <v>100</v>
      </c>
      <c r="S100" s="22" t="s">
        <v>612</v>
      </c>
      <c r="T100" s="22"/>
    </row>
    <row r="101" customFormat="false" ht="39.55" hidden="false" customHeight="false" outlineLevel="0" collapsed="false">
      <c r="A101" s="22" t="s">
        <v>632</v>
      </c>
      <c r="B101" s="22" t="s">
        <v>554</v>
      </c>
      <c r="C101" s="22" t="s">
        <v>555</v>
      </c>
      <c r="D101" s="23" t="n">
        <v>4</v>
      </c>
      <c r="E101" s="22" t="str">
        <f aca="false">B101&amp;" Mastery "&amp;INDEX(Tiers!$B$2:$B$6,MATCH(D101,Tiers!$A$2:$A$6,0))</f>
        <v>Sword Mastery 600</v>
      </c>
      <c r="F101" s="24" t="s">
        <v>633</v>
      </c>
      <c r="G101" s="22" t="s">
        <v>128</v>
      </c>
      <c r="H101" s="22" t="s">
        <v>608</v>
      </c>
      <c r="I101" s="22" t="s">
        <v>554</v>
      </c>
      <c r="J101" s="25" t="s">
        <v>634</v>
      </c>
      <c r="K101" s="22" t="s">
        <v>558</v>
      </c>
      <c r="L101" s="22" t="s">
        <v>635</v>
      </c>
      <c r="M101" s="24" t="s">
        <v>30</v>
      </c>
      <c r="N101" s="22" t="s">
        <v>636</v>
      </c>
      <c r="O101" s="26" t="n">
        <v>25</v>
      </c>
      <c r="P101" s="26" t="n">
        <v>25</v>
      </c>
      <c r="Q101" s="26" t="n">
        <v>1</v>
      </c>
      <c r="R101" s="26" t="n">
        <v>150</v>
      </c>
      <c r="S101" s="22" t="s">
        <v>637</v>
      </c>
      <c r="T101" s="22"/>
    </row>
    <row r="102" customFormat="false" ht="39.55" hidden="false" customHeight="false" outlineLevel="0" collapsed="false">
      <c r="A102" s="22" t="s">
        <v>638</v>
      </c>
      <c r="B102" s="22" t="s">
        <v>554</v>
      </c>
      <c r="C102" s="22" t="s">
        <v>568</v>
      </c>
      <c r="D102" s="23" t="n">
        <v>4</v>
      </c>
      <c r="E102" s="22" t="str">
        <f aca="false">B102&amp;" Mastery "&amp;INDEX(Tiers!$B$2:$B$6,MATCH(D102,Tiers!$A$2:$A$6,0))</f>
        <v>Sword Mastery 600</v>
      </c>
      <c r="F102" s="24" t="s">
        <v>639</v>
      </c>
      <c r="G102" s="22" t="s">
        <v>141</v>
      </c>
      <c r="H102" s="22" t="s">
        <v>614</v>
      </c>
      <c r="I102" s="22" t="s">
        <v>554</v>
      </c>
      <c r="J102" s="25" t="s">
        <v>640</v>
      </c>
      <c r="K102" s="22" t="s">
        <v>558</v>
      </c>
      <c r="L102" s="22" t="s">
        <v>641</v>
      </c>
      <c r="M102" s="24" t="s">
        <v>50</v>
      </c>
      <c r="N102" s="22" t="s">
        <v>642</v>
      </c>
      <c r="O102" s="26" t="n">
        <v>30</v>
      </c>
      <c r="P102" s="26" t="n">
        <v>25</v>
      </c>
      <c r="Q102" s="26" t="n">
        <v>2</v>
      </c>
      <c r="R102" s="26" t="n">
        <v>150</v>
      </c>
      <c r="S102" s="22" t="s">
        <v>643</v>
      </c>
      <c r="T102" s="22"/>
    </row>
    <row r="103" customFormat="false" ht="39.55" hidden="false" customHeight="false" outlineLevel="0" collapsed="false">
      <c r="A103" s="22" t="s">
        <v>644</v>
      </c>
      <c r="B103" s="22" t="s">
        <v>554</v>
      </c>
      <c r="C103" s="22" t="s">
        <v>576</v>
      </c>
      <c r="D103" s="23" t="n">
        <v>4</v>
      </c>
      <c r="E103" s="22" t="str">
        <f aca="false">B103&amp;" Mastery "&amp;INDEX(Tiers!$B$2:$B$6,MATCH(D103,Tiers!$A$2:$A$6,0))</f>
        <v>Sword Mastery 600</v>
      </c>
      <c r="F103" s="24" t="s">
        <v>645</v>
      </c>
      <c r="G103" s="22" t="s">
        <v>55</v>
      </c>
      <c r="H103" s="22" t="s">
        <v>623</v>
      </c>
      <c r="I103" s="22" t="s">
        <v>554</v>
      </c>
      <c r="J103" s="25" t="s">
        <v>646</v>
      </c>
      <c r="K103" s="22" t="s">
        <v>605</v>
      </c>
      <c r="L103" s="22" t="s">
        <v>647</v>
      </c>
      <c r="M103" s="24" t="s">
        <v>30</v>
      </c>
      <c r="N103" s="22" t="s">
        <v>648</v>
      </c>
      <c r="O103" s="26" t="n">
        <v>20</v>
      </c>
      <c r="P103" s="26" t="n">
        <v>25</v>
      </c>
      <c r="Q103" s="26" t="n">
        <v>1</v>
      </c>
      <c r="R103" s="26" t="n">
        <v>150</v>
      </c>
      <c r="S103" s="22" t="s">
        <v>637</v>
      </c>
      <c r="T103" s="22"/>
    </row>
    <row r="104" customFormat="false" ht="39.55" hidden="false" customHeight="false" outlineLevel="0" collapsed="false">
      <c r="A104" s="22" t="s">
        <v>649</v>
      </c>
      <c r="B104" s="22" t="s">
        <v>554</v>
      </c>
      <c r="C104" s="22" t="s">
        <v>555</v>
      </c>
      <c r="D104" s="23" t="n">
        <v>4</v>
      </c>
      <c r="E104" s="22" t="str">
        <f aca="false">B104&amp;" Mastery "&amp;INDEX(Tiers!$B$2:$B$6,MATCH(D104,Tiers!$A$2:$A$6,0))</f>
        <v>Sword Mastery 600</v>
      </c>
      <c r="F104" s="24" t="s">
        <v>650</v>
      </c>
      <c r="G104" s="22" t="s">
        <v>47</v>
      </c>
      <c r="H104" s="22" t="s">
        <v>651</v>
      </c>
      <c r="I104" s="22" t="s">
        <v>554</v>
      </c>
      <c r="J104" s="25" t="s">
        <v>652</v>
      </c>
      <c r="K104" s="22" t="s">
        <v>558</v>
      </c>
      <c r="L104" s="22" t="s">
        <v>653</v>
      </c>
      <c r="M104" s="24" t="s">
        <v>50</v>
      </c>
      <c r="N104" s="22" t="s">
        <v>51</v>
      </c>
      <c r="O104" s="26" t="n">
        <v>30</v>
      </c>
      <c r="P104" s="26" t="n">
        <v>25</v>
      </c>
      <c r="Q104" s="26" t="n">
        <v>2</v>
      </c>
      <c r="R104" s="26" t="n">
        <v>150</v>
      </c>
      <c r="S104" s="22" t="s">
        <v>643</v>
      </c>
      <c r="T104" s="22"/>
    </row>
    <row r="105" customFormat="false" ht="39.55" hidden="false" customHeight="false" outlineLevel="0" collapsed="false">
      <c r="A105" s="22" t="s">
        <v>654</v>
      </c>
      <c r="B105" s="22" t="s">
        <v>554</v>
      </c>
      <c r="C105" s="22" t="s">
        <v>555</v>
      </c>
      <c r="D105" s="23" t="n">
        <v>5</v>
      </c>
      <c r="E105" s="22" t="str">
        <f aca="false">B105&amp;" Mastery "&amp;INDEX(Tiers!$B$2:$B$6,MATCH(D105,Tiers!$A$2:$A$6,0))</f>
        <v>Sword Mastery 900</v>
      </c>
      <c r="F105" s="24" t="s">
        <v>655</v>
      </c>
      <c r="G105" s="22" t="s">
        <v>128</v>
      </c>
      <c r="H105" s="22" t="s">
        <v>656</v>
      </c>
      <c r="I105" s="22" t="s">
        <v>554</v>
      </c>
      <c r="J105" s="25" t="s">
        <v>657</v>
      </c>
      <c r="K105" s="22" t="s">
        <v>558</v>
      </c>
      <c r="L105" s="22" t="s">
        <v>658</v>
      </c>
      <c r="M105" s="24" t="s">
        <v>30</v>
      </c>
      <c r="N105" s="22" t="s">
        <v>659</v>
      </c>
      <c r="O105" s="26" t="n">
        <v>60</v>
      </c>
      <c r="P105" s="26" t="n">
        <v>50</v>
      </c>
      <c r="Q105" s="26" t="n">
        <v>4</v>
      </c>
      <c r="R105" s="26" t="n">
        <v>200</v>
      </c>
      <c r="S105" s="22" t="s">
        <v>660</v>
      </c>
      <c r="T105" s="22"/>
    </row>
    <row r="106" customFormat="false" ht="39.55" hidden="false" customHeight="false" outlineLevel="0" collapsed="false">
      <c r="A106" s="22" t="s">
        <v>661</v>
      </c>
      <c r="B106" s="22" t="s">
        <v>554</v>
      </c>
      <c r="C106" s="22" t="s">
        <v>576</v>
      </c>
      <c r="D106" s="23" t="n">
        <v>5</v>
      </c>
      <c r="E106" s="22" t="str">
        <f aca="false">B106&amp;" Mastery "&amp;INDEX(Tiers!$B$2:$B$6,MATCH(D106,Tiers!$A$2:$A$6,0))</f>
        <v>Sword Mastery 900</v>
      </c>
      <c r="F106" s="24" t="s">
        <v>662</v>
      </c>
      <c r="G106" s="22" t="s">
        <v>47</v>
      </c>
      <c r="H106" s="22" t="s">
        <v>663</v>
      </c>
      <c r="I106" s="22" t="s">
        <v>554</v>
      </c>
      <c r="J106" s="25" t="s">
        <v>664</v>
      </c>
      <c r="K106" s="22" t="s">
        <v>558</v>
      </c>
      <c r="L106" s="22" t="s">
        <v>665</v>
      </c>
      <c r="M106" s="24" t="s">
        <v>50</v>
      </c>
      <c r="N106" s="22" t="s">
        <v>51</v>
      </c>
      <c r="O106" s="26" t="n">
        <v>120</v>
      </c>
      <c r="P106" s="26" t="n">
        <v>50</v>
      </c>
      <c r="Q106" s="26" t="n">
        <v>10</v>
      </c>
      <c r="R106" s="26" t="n">
        <v>200</v>
      </c>
      <c r="S106" s="22" t="s">
        <v>666</v>
      </c>
      <c r="T106" s="22"/>
    </row>
    <row r="107" customFormat="false" ht="26.85" hidden="false" customHeight="false" outlineLevel="0" collapsed="false">
      <c r="A107" s="27" t="s">
        <v>667</v>
      </c>
      <c r="B107" s="27" t="s">
        <v>668</v>
      </c>
      <c r="C107" s="27" t="s">
        <v>669</v>
      </c>
      <c r="D107" s="28" t="n">
        <v>1</v>
      </c>
      <c r="E107" s="27" t="str">
        <f aca="false">B107&amp;" Mastery "&amp;INDEX(Tiers!$B$2:$B$6,MATCH(D107,Tiers!$A$2:$A$6,0))</f>
        <v>Bow Mastery 0</v>
      </c>
      <c r="F107" s="29" t="s">
        <v>670</v>
      </c>
      <c r="G107" s="27" t="s">
        <v>24</v>
      </c>
      <c r="H107" s="27" t="s">
        <v>25</v>
      </c>
      <c r="I107" s="27" t="s">
        <v>668</v>
      </c>
      <c r="J107" s="30" t="s">
        <v>671</v>
      </c>
      <c r="K107" s="27" t="s">
        <v>672</v>
      </c>
      <c r="L107" s="27" t="s">
        <v>673</v>
      </c>
      <c r="M107" s="29" t="s">
        <v>30</v>
      </c>
      <c r="N107" s="27" t="s">
        <v>674</v>
      </c>
      <c r="O107" s="31" t="n">
        <v>2</v>
      </c>
      <c r="P107" s="31" t="n">
        <v>5</v>
      </c>
      <c r="Q107" s="31" t="n">
        <v>0.2</v>
      </c>
      <c r="R107" s="31" t="n">
        <v>50</v>
      </c>
      <c r="S107" s="27" t="s">
        <v>675</v>
      </c>
      <c r="T107" s="27"/>
    </row>
    <row r="108" customFormat="false" ht="39.55" hidden="false" customHeight="false" outlineLevel="0" collapsed="false">
      <c r="A108" s="27" t="s">
        <v>676</v>
      </c>
      <c r="B108" s="27" t="s">
        <v>668</v>
      </c>
      <c r="C108" s="27" t="s">
        <v>669</v>
      </c>
      <c r="D108" s="28" t="n">
        <v>1</v>
      </c>
      <c r="E108" s="27" t="str">
        <f aca="false">B108&amp;" Mastery "&amp;INDEX(Tiers!$B$2:$B$6,MATCH(D108,Tiers!$A$2:$A$6,0))</f>
        <v>Bow Mastery 0</v>
      </c>
      <c r="F108" s="29" t="s">
        <v>677</v>
      </c>
      <c r="G108" s="27" t="s">
        <v>24</v>
      </c>
      <c r="H108" s="27" t="s">
        <v>25</v>
      </c>
      <c r="I108" s="27" t="s">
        <v>668</v>
      </c>
      <c r="J108" s="30" t="s">
        <v>678</v>
      </c>
      <c r="K108" s="27" t="s">
        <v>672</v>
      </c>
      <c r="L108" s="27" t="s">
        <v>679</v>
      </c>
      <c r="M108" s="29" t="s">
        <v>43</v>
      </c>
      <c r="N108" s="27" t="s">
        <v>680</v>
      </c>
      <c r="O108" s="31" t="n">
        <v>6</v>
      </c>
      <c r="P108" s="31" t="n">
        <v>5</v>
      </c>
      <c r="Q108" s="31" t="n">
        <v>0.2</v>
      </c>
      <c r="R108" s="31" t="n">
        <v>50</v>
      </c>
      <c r="S108" s="27" t="s">
        <v>675</v>
      </c>
      <c r="T108" s="27"/>
    </row>
    <row r="109" customFormat="false" ht="26.85" hidden="false" customHeight="false" outlineLevel="0" collapsed="false">
      <c r="A109" s="27" t="s">
        <v>681</v>
      </c>
      <c r="B109" s="27" t="s">
        <v>668</v>
      </c>
      <c r="C109" s="27" t="s">
        <v>682</v>
      </c>
      <c r="D109" s="28" t="n">
        <v>1</v>
      </c>
      <c r="E109" s="27" t="str">
        <f aca="false">B109&amp;" Mastery "&amp;INDEX(Tiers!$B$2:$B$6,MATCH(D109,Tiers!$A$2:$A$6,0))</f>
        <v>Bow Mastery 0</v>
      </c>
      <c r="F109" s="29" t="s">
        <v>683</v>
      </c>
      <c r="G109" s="27" t="s">
        <v>55</v>
      </c>
      <c r="H109" s="27" t="s">
        <v>25</v>
      </c>
      <c r="I109" s="27" t="s">
        <v>668</v>
      </c>
      <c r="J109" s="30" t="s">
        <v>684</v>
      </c>
      <c r="K109" s="27" t="s">
        <v>685</v>
      </c>
      <c r="L109" s="27" t="s">
        <v>686</v>
      </c>
      <c r="M109" s="29" t="s">
        <v>50</v>
      </c>
      <c r="N109" s="27" t="s">
        <v>687</v>
      </c>
      <c r="O109" s="31" t="n">
        <v>12</v>
      </c>
      <c r="P109" s="31" t="n">
        <v>5</v>
      </c>
      <c r="Q109" s="31" t="n">
        <v>0.4</v>
      </c>
      <c r="R109" s="31" t="n">
        <v>50</v>
      </c>
      <c r="S109" s="27" t="s">
        <v>688</v>
      </c>
      <c r="T109" s="27"/>
    </row>
    <row r="110" customFormat="false" ht="26.85" hidden="false" customHeight="false" outlineLevel="0" collapsed="false">
      <c r="A110" s="27" t="s">
        <v>689</v>
      </c>
      <c r="B110" s="27" t="s">
        <v>668</v>
      </c>
      <c r="C110" s="27" t="s">
        <v>682</v>
      </c>
      <c r="D110" s="28" t="n">
        <v>1</v>
      </c>
      <c r="E110" s="27" t="str">
        <f aca="false">B110&amp;" Mastery "&amp;INDEX(Tiers!$B$2:$B$6,MATCH(D110,Tiers!$A$2:$A$6,0))</f>
        <v>Bow Mastery 0</v>
      </c>
      <c r="F110" s="29" t="s">
        <v>690</v>
      </c>
      <c r="G110" s="27" t="s">
        <v>102</v>
      </c>
      <c r="H110" s="27" t="s">
        <v>25</v>
      </c>
      <c r="I110" s="27" t="s">
        <v>668</v>
      </c>
      <c r="J110" s="30" t="s">
        <v>691</v>
      </c>
      <c r="K110" s="27" t="s">
        <v>685</v>
      </c>
      <c r="L110" s="27" t="s">
        <v>692</v>
      </c>
      <c r="M110" s="29" t="s">
        <v>30</v>
      </c>
      <c r="N110" s="27" t="s">
        <v>693</v>
      </c>
      <c r="O110" s="31" t="n">
        <v>15</v>
      </c>
      <c r="P110" s="31" t="n">
        <v>5</v>
      </c>
      <c r="Q110" s="31" t="n">
        <v>0.4</v>
      </c>
      <c r="R110" s="31" t="n">
        <v>50</v>
      </c>
      <c r="S110" s="27" t="s">
        <v>688</v>
      </c>
      <c r="T110" s="27"/>
    </row>
    <row r="111" customFormat="false" ht="26.85" hidden="false" customHeight="false" outlineLevel="0" collapsed="false">
      <c r="A111" s="27" t="s">
        <v>694</v>
      </c>
      <c r="B111" s="27" t="s">
        <v>668</v>
      </c>
      <c r="C111" s="27" t="s">
        <v>695</v>
      </c>
      <c r="D111" s="28" t="n">
        <v>2</v>
      </c>
      <c r="E111" s="27" t="str">
        <f aca="false">B111&amp;" Mastery "&amp;INDEX(Tiers!$B$2:$B$6,MATCH(D111,Tiers!$A$2:$A$6,0))</f>
        <v>Bow Mastery 150</v>
      </c>
      <c r="F111" s="29" t="s">
        <v>696</v>
      </c>
      <c r="G111" s="27" t="s">
        <v>68</v>
      </c>
      <c r="H111" s="27" t="s">
        <v>670</v>
      </c>
      <c r="I111" s="27" t="s">
        <v>668</v>
      </c>
      <c r="J111" s="30" t="s">
        <v>697</v>
      </c>
      <c r="K111" s="27" t="s">
        <v>672</v>
      </c>
      <c r="L111" s="27" t="s">
        <v>698</v>
      </c>
      <c r="M111" s="29" t="s">
        <v>30</v>
      </c>
      <c r="N111" s="27" t="s">
        <v>699</v>
      </c>
      <c r="O111" s="31" t="n">
        <v>8</v>
      </c>
      <c r="P111" s="31" t="n">
        <v>10</v>
      </c>
      <c r="Q111" s="31" t="n">
        <v>0.3</v>
      </c>
      <c r="R111" s="31" t="n">
        <v>70</v>
      </c>
      <c r="S111" s="27" t="s">
        <v>700</v>
      </c>
      <c r="T111" s="27"/>
    </row>
    <row r="112" customFormat="false" ht="26.85" hidden="false" customHeight="false" outlineLevel="0" collapsed="false">
      <c r="A112" s="27" t="s">
        <v>701</v>
      </c>
      <c r="B112" s="27" t="s">
        <v>668</v>
      </c>
      <c r="C112" s="27" t="s">
        <v>669</v>
      </c>
      <c r="D112" s="28" t="n">
        <v>2</v>
      </c>
      <c r="E112" s="27" t="str">
        <f aca="false">B112&amp;" Mastery "&amp;INDEX(Tiers!$B$2:$B$6,MATCH(D112,Tiers!$A$2:$A$6,0))</f>
        <v>Bow Mastery 150</v>
      </c>
      <c r="F112" s="29" t="s">
        <v>702</v>
      </c>
      <c r="G112" s="27" t="s">
        <v>24</v>
      </c>
      <c r="H112" s="27" t="s">
        <v>677</v>
      </c>
      <c r="I112" s="27" t="s">
        <v>668</v>
      </c>
      <c r="J112" s="30" t="s">
        <v>703</v>
      </c>
      <c r="K112" s="27" t="s">
        <v>672</v>
      </c>
      <c r="L112" s="27" t="s">
        <v>704</v>
      </c>
      <c r="M112" s="29" t="s">
        <v>43</v>
      </c>
      <c r="N112" s="27" t="s">
        <v>705</v>
      </c>
      <c r="O112" s="31" t="n">
        <v>10</v>
      </c>
      <c r="P112" s="31" t="n">
        <v>10</v>
      </c>
      <c r="Q112" s="31" t="n">
        <v>0.6</v>
      </c>
      <c r="R112" s="31" t="n">
        <v>70</v>
      </c>
      <c r="S112" s="27" t="s">
        <v>706</v>
      </c>
      <c r="T112" s="27"/>
    </row>
    <row r="113" customFormat="false" ht="26.85" hidden="false" customHeight="false" outlineLevel="0" collapsed="false">
      <c r="A113" s="27" t="s">
        <v>707</v>
      </c>
      <c r="B113" s="27" t="s">
        <v>668</v>
      </c>
      <c r="C113" s="27" t="s">
        <v>682</v>
      </c>
      <c r="D113" s="28" t="n">
        <v>2</v>
      </c>
      <c r="E113" s="27" t="str">
        <f aca="false">B113&amp;" Mastery "&amp;INDEX(Tiers!$B$2:$B$6,MATCH(D113,Tiers!$A$2:$A$6,0))</f>
        <v>Bow Mastery 150</v>
      </c>
      <c r="F113" s="29" t="s">
        <v>708</v>
      </c>
      <c r="G113" s="27" t="s">
        <v>594</v>
      </c>
      <c r="H113" s="27" t="s">
        <v>690</v>
      </c>
      <c r="I113" s="27" t="s">
        <v>668</v>
      </c>
      <c r="J113" s="30" t="s">
        <v>709</v>
      </c>
      <c r="K113" s="27" t="s">
        <v>672</v>
      </c>
      <c r="L113" s="27" t="s">
        <v>710</v>
      </c>
      <c r="M113" s="29" t="s">
        <v>30</v>
      </c>
      <c r="N113" s="27" t="s">
        <v>711</v>
      </c>
      <c r="O113" s="31" t="n">
        <v>8</v>
      </c>
      <c r="P113" s="31" t="n">
        <v>10</v>
      </c>
      <c r="Q113" s="31" t="n">
        <v>0.3</v>
      </c>
      <c r="R113" s="31" t="n">
        <v>70</v>
      </c>
      <c r="S113" s="27" t="s">
        <v>700</v>
      </c>
      <c r="T113" s="27"/>
    </row>
    <row r="114" customFormat="false" ht="26.85" hidden="false" customHeight="false" outlineLevel="0" collapsed="false">
      <c r="A114" s="27" t="s">
        <v>712</v>
      </c>
      <c r="B114" s="27" t="s">
        <v>668</v>
      </c>
      <c r="C114" s="27" t="s">
        <v>682</v>
      </c>
      <c r="D114" s="28" t="n">
        <v>2</v>
      </c>
      <c r="E114" s="27" t="str">
        <f aca="false">B114&amp;" Mastery "&amp;INDEX(Tiers!$B$2:$B$6,MATCH(D114,Tiers!$A$2:$A$6,0))</f>
        <v>Bow Mastery 150</v>
      </c>
      <c r="F114" s="29" t="s">
        <v>713</v>
      </c>
      <c r="G114" s="27" t="s">
        <v>363</v>
      </c>
      <c r="H114" s="27" t="s">
        <v>683</v>
      </c>
      <c r="I114" s="27" t="s">
        <v>668</v>
      </c>
      <c r="J114" s="30" t="s">
        <v>714</v>
      </c>
      <c r="K114" s="27" t="s">
        <v>672</v>
      </c>
      <c r="L114" s="27" t="s">
        <v>715</v>
      </c>
      <c r="M114" s="29" t="s">
        <v>43</v>
      </c>
      <c r="N114" s="27" t="s">
        <v>716</v>
      </c>
      <c r="O114" s="31" t="n">
        <v>14</v>
      </c>
      <c r="P114" s="31" t="n">
        <v>10</v>
      </c>
      <c r="Q114" s="31" t="n">
        <v>0.6</v>
      </c>
      <c r="R114" s="31" t="n">
        <v>70</v>
      </c>
      <c r="S114" s="27" t="s">
        <v>706</v>
      </c>
      <c r="T114" s="27"/>
    </row>
    <row r="115" customFormat="false" ht="26.85" hidden="false" customHeight="false" outlineLevel="0" collapsed="false">
      <c r="A115" s="27" t="s">
        <v>717</v>
      </c>
      <c r="B115" s="27" t="s">
        <v>668</v>
      </c>
      <c r="C115" s="27" t="s">
        <v>669</v>
      </c>
      <c r="D115" s="28" t="n">
        <v>2</v>
      </c>
      <c r="E115" s="27" t="str">
        <f aca="false">B115&amp;" Mastery "&amp;INDEX(Tiers!$B$2:$B$6,MATCH(D115,Tiers!$A$2:$A$6,0))</f>
        <v>Bow Mastery 150</v>
      </c>
      <c r="F115" s="29" t="s">
        <v>718</v>
      </c>
      <c r="G115" s="27" t="s">
        <v>47</v>
      </c>
      <c r="H115" s="27" t="s">
        <v>677</v>
      </c>
      <c r="I115" s="27" t="s">
        <v>668</v>
      </c>
      <c r="J115" s="30" t="s">
        <v>719</v>
      </c>
      <c r="K115" s="27" t="s">
        <v>685</v>
      </c>
      <c r="L115" s="27" t="s">
        <v>720</v>
      </c>
      <c r="M115" s="29" t="s">
        <v>50</v>
      </c>
      <c r="N115" s="27" t="s">
        <v>51</v>
      </c>
      <c r="O115" s="31" t="n">
        <v>20</v>
      </c>
      <c r="P115" s="31" t="n">
        <v>10</v>
      </c>
      <c r="Q115" s="31" t="n">
        <v>0.6</v>
      </c>
      <c r="R115" s="31" t="n">
        <v>70</v>
      </c>
      <c r="S115" s="27" t="s">
        <v>706</v>
      </c>
      <c r="T115" s="27"/>
    </row>
    <row r="116" customFormat="false" ht="26.85" hidden="false" customHeight="false" outlineLevel="0" collapsed="false">
      <c r="A116" s="27" t="s">
        <v>721</v>
      </c>
      <c r="B116" s="27" t="s">
        <v>668</v>
      </c>
      <c r="C116" s="27" t="s">
        <v>695</v>
      </c>
      <c r="D116" s="28" t="n">
        <v>3</v>
      </c>
      <c r="E116" s="27" t="str">
        <f aca="false">B116&amp;" Mastery "&amp;INDEX(Tiers!$B$2:$B$6,MATCH(D116,Tiers!$A$2:$A$6,0))</f>
        <v>Bow Mastery 350</v>
      </c>
      <c r="F116" s="29" t="s">
        <v>695</v>
      </c>
      <c r="G116" s="27" t="s">
        <v>68</v>
      </c>
      <c r="H116" s="27" t="s">
        <v>696</v>
      </c>
      <c r="I116" s="27" t="s">
        <v>668</v>
      </c>
      <c r="J116" s="30" t="s">
        <v>722</v>
      </c>
      <c r="K116" s="27" t="s">
        <v>672</v>
      </c>
      <c r="L116" s="27" t="s">
        <v>723</v>
      </c>
      <c r="M116" s="29" t="s">
        <v>58</v>
      </c>
      <c r="N116" s="27" t="s">
        <v>724</v>
      </c>
      <c r="O116" s="31" t="n">
        <v>14</v>
      </c>
      <c r="P116" s="31" t="n">
        <v>15</v>
      </c>
      <c r="Q116" s="31" t="n">
        <v>0.8</v>
      </c>
      <c r="R116" s="31" t="n">
        <v>100</v>
      </c>
      <c r="S116" s="27" t="s">
        <v>725</v>
      </c>
      <c r="T116" s="27"/>
    </row>
    <row r="117" customFormat="false" ht="26.85" hidden="false" customHeight="false" outlineLevel="0" collapsed="false">
      <c r="A117" s="27" t="s">
        <v>726</v>
      </c>
      <c r="B117" s="27" t="s">
        <v>668</v>
      </c>
      <c r="C117" s="27" t="s">
        <v>669</v>
      </c>
      <c r="D117" s="28" t="n">
        <v>3</v>
      </c>
      <c r="E117" s="27" t="str">
        <f aca="false">B117&amp;" Mastery "&amp;INDEX(Tiers!$B$2:$B$6,MATCH(D117,Tiers!$A$2:$A$6,0))</f>
        <v>Bow Mastery 350</v>
      </c>
      <c r="F117" s="29" t="s">
        <v>727</v>
      </c>
      <c r="G117" s="27" t="s">
        <v>128</v>
      </c>
      <c r="H117" s="27" t="s">
        <v>728</v>
      </c>
      <c r="I117" s="27" t="s">
        <v>668</v>
      </c>
      <c r="J117" s="30" t="s">
        <v>729</v>
      </c>
      <c r="K117" s="27" t="s">
        <v>672</v>
      </c>
      <c r="L117" s="27" t="s">
        <v>730</v>
      </c>
      <c r="M117" s="29" t="s">
        <v>30</v>
      </c>
      <c r="N117" s="27" t="s">
        <v>731</v>
      </c>
      <c r="O117" s="31" t="n">
        <v>20</v>
      </c>
      <c r="P117" s="31" t="n">
        <v>15</v>
      </c>
      <c r="Q117" s="31" t="n">
        <v>0.8</v>
      </c>
      <c r="R117" s="31" t="n">
        <v>100</v>
      </c>
      <c r="S117" s="27" t="s">
        <v>725</v>
      </c>
      <c r="T117" s="27"/>
    </row>
    <row r="118" customFormat="false" ht="26.85" hidden="false" customHeight="false" outlineLevel="0" collapsed="false">
      <c r="A118" s="27" t="s">
        <v>732</v>
      </c>
      <c r="B118" s="27" t="s">
        <v>668</v>
      </c>
      <c r="C118" s="27" t="s">
        <v>682</v>
      </c>
      <c r="D118" s="28" t="n">
        <v>3</v>
      </c>
      <c r="E118" s="27" t="str">
        <f aca="false">B118&amp;" Mastery "&amp;INDEX(Tiers!$B$2:$B$6,MATCH(D118,Tiers!$A$2:$A$6,0))</f>
        <v>Bow Mastery 350</v>
      </c>
      <c r="F118" s="29" t="s">
        <v>733</v>
      </c>
      <c r="G118" s="27" t="s">
        <v>734</v>
      </c>
      <c r="H118" s="27" t="s">
        <v>713</v>
      </c>
      <c r="I118" s="27" t="s">
        <v>668</v>
      </c>
      <c r="J118" s="30" t="s">
        <v>735</v>
      </c>
      <c r="K118" s="27" t="s">
        <v>672</v>
      </c>
      <c r="L118" s="27" t="s">
        <v>736</v>
      </c>
      <c r="M118" s="29" t="s">
        <v>58</v>
      </c>
      <c r="N118" s="27" t="s">
        <v>737</v>
      </c>
      <c r="O118" s="31" t="n">
        <v>18</v>
      </c>
      <c r="P118" s="31" t="n">
        <v>15</v>
      </c>
      <c r="Q118" s="31" t="n">
        <v>0.8</v>
      </c>
      <c r="R118" s="31" t="n">
        <v>100</v>
      </c>
      <c r="S118" s="27" t="s">
        <v>725</v>
      </c>
      <c r="T118" s="27"/>
    </row>
    <row r="119" customFormat="false" ht="26.85" hidden="false" customHeight="false" outlineLevel="0" collapsed="false">
      <c r="A119" s="27" t="s">
        <v>738</v>
      </c>
      <c r="B119" s="27" t="s">
        <v>668</v>
      </c>
      <c r="C119" s="27" t="s">
        <v>695</v>
      </c>
      <c r="D119" s="28" t="n">
        <v>3</v>
      </c>
      <c r="E119" s="27" t="str">
        <f aca="false">B119&amp;" Mastery "&amp;INDEX(Tiers!$B$2:$B$6,MATCH(D119,Tiers!$A$2:$A$6,0))</f>
        <v>Bow Mastery 350</v>
      </c>
      <c r="F119" s="29" t="s">
        <v>739</v>
      </c>
      <c r="G119" s="27" t="s">
        <v>24</v>
      </c>
      <c r="H119" s="27" t="s">
        <v>696</v>
      </c>
      <c r="I119" s="27" t="s">
        <v>668</v>
      </c>
      <c r="J119" s="30" t="s">
        <v>740</v>
      </c>
      <c r="K119" s="27" t="s">
        <v>672</v>
      </c>
      <c r="L119" s="27" t="s">
        <v>741</v>
      </c>
      <c r="M119" s="29" t="s">
        <v>30</v>
      </c>
      <c r="N119" s="27" t="s">
        <v>742</v>
      </c>
      <c r="O119" s="31" t="n">
        <v>16</v>
      </c>
      <c r="P119" s="31" t="n">
        <v>15</v>
      </c>
      <c r="Q119" s="31" t="n">
        <v>0.8</v>
      </c>
      <c r="R119" s="31" t="n">
        <v>100</v>
      </c>
      <c r="S119" s="27" t="s">
        <v>725</v>
      </c>
      <c r="T119" s="27"/>
    </row>
    <row r="120" customFormat="false" ht="26.85" hidden="false" customHeight="false" outlineLevel="0" collapsed="false">
      <c r="A120" s="27" t="s">
        <v>743</v>
      </c>
      <c r="B120" s="27" t="s">
        <v>668</v>
      </c>
      <c r="C120" s="27" t="s">
        <v>682</v>
      </c>
      <c r="D120" s="28" t="n">
        <v>3</v>
      </c>
      <c r="E120" s="27" t="str">
        <f aca="false">B120&amp;" Mastery "&amp;INDEX(Tiers!$B$2:$B$6,MATCH(D120,Tiers!$A$2:$A$6,0))</f>
        <v>Bow Mastery 350</v>
      </c>
      <c r="F120" s="29" t="s">
        <v>744</v>
      </c>
      <c r="G120" s="27" t="s">
        <v>745</v>
      </c>
      <c r="H120" s="27" t="s">
        <v>683</v>
      </c>
      <c r="I120" s="27" t="s">
        <v>668</v>
      </c>
      <c r="J120" s="30" t="s">
        <v>746</v>
      </c>
      <c r="K120" s="27" t="s">
        <v>685</v>
      </c>
      <c r="L120" s="27" t="s">
        <v>747</v>
      </c>
      <c r="M120" s="29" t="s">
        <v>50</v>
      </c>
      <c r="N120" s="27" t="s">
        <v>51</v>
      </c>
      <c r="O120" s="31" t="n">
        <v>30</v>
      </c>
      <c r="P120" s="31" t="n">
        <v>15</v>
      </c>
      <c r="Q120" s="31" t="n">
        <v>1.6</v>
      </c>
      <c r="R120" s="31" t="n">
        <v>100</v>
      </c>
      <c r="S120" s="27" t="s">
        <v>748</v>
      </c>
      <c r="T120" s="27"/>
    </row>
    <row r="121" customFormat="false" ht="26.85" hidden="false" customHeight="false" outlineLevel="0" collapsed="false">
      <c r="A121" s="27" t="s">
        <v>749</v>
      </c>
      <c r="B121" s="27" t="s">
        <v>668</v>
      </c>
      <c r="C121" s="27" t="s">
        <v>695</v>
      </c>
      <c r="D121" s="28" t="n">
        <v>4</v>
      </c>
      <c r="E121" s="27" t="str">
        <f aca="false">B121&amp;" Mastery "&amp;INDEX(Tiers!$B$2:$B$6,MATCH(D121,Tiers!$A$2:$A$6,0))</f>
        <v>Bow Mastery 600</v>
      </c>
      <c r="F121" s="29" t="s">
        <v>750</v>
      </c>
      <c r="G121" s="27" t="s">
        <v>68</v>
      </c>
      <c r="H121" s="27" t="s">
        <v>695</v>
      </c>
      <c r="I121" s="27" t="s">
        <v>668</v>
      </c>
      <c r="J121" s="30" t="s">
        <v>751</v>
      </c>
      <c r="K121" s="27" t="s">
        <v>672</v>
      </c>
      <c r="L121" s="27" t="s">
        <v>752</v>
      </c>
      <c r="M121" s="29" t="s">
        <v>58</v>
      </c>
      <c r="N121" s="27" t="s">
        <v>753</v>
      </c>
      <c r="O121" s="31" t="n">
        <v>35</v>
      </c>
      <c r="P121" s="31" t="n">
        <v>25</v>
      </c>
      <c r="Q121" s="31" t="n">
        <v>2</v>
      </c>
      <c r="R121" s="31" t="n">
        <v>150</v>
      </c>
      <c r="S121" s="27" t="s">
        <v>754</v>
      </c>
      <c r="T121" s="27"/>
    </row>
    <row r="122" customFormat="false" ht="26.85" hidden="false" customHeight="false" outlineLevel="0" collapsed="false">
      <c r="A122" s="27" t="s">
        <v>755</v>
      </c>
      <c r="B122" s="27" t="s">
        <v>668</v>
      </c>
      <c r="C122" s="27" t="s">
        <v>669</v>
      </c>
      <c r="D122" s="28" t="n">
        <v>4</v>
      </c>
      <c r="E122" s="27" t="str">
        <f aca="false">B122&amp;" Mastery "&amp;INDEX(Tiers!$B$2:$B$6,MATCH(D122,Tiers!$A$2:$A$6,0))</f>
        <v>Bow Mastery 600</v>
      </c>
      <c r="F122" s="29" t="s">
        <v>756</v>
      </c>
      <c r="G122" s="27" t="s">
        <v>403</v>
      </c>
      <c r="H122" s="27" t="s">
        <v>757</v>
      </c>
      <c r="I122" s="27" t="s">
        <v>668</v>
      </c>
      <c r="J122" s="30" t="s">
        <v>758</v>
      </c>
      <c r="K122" s="27" t="s">
        <v>672</v>
      </c>
      <c r="L122" s="27" t="s">
        <v>759</v>
      </c>
      <c r="M122" s="29" t="s">
        <v>43</v>
      </c>
      <c r="N122" s="27" t="s">
        <v>760</v>
      </c>
      <c r="O122" s="31" t="n">
        <v>25</v>
      </c>
      <c r="P122" s="31" t="n">
        <v>25</v>
      </c>
      <c r="Q122" s="31" t="n">
        <v>1</v>
      </c>
      <c r="R122" s="31" t="n">
        <v>150</v>
      </c>
      <c r="S122" s="27" t="s">
        <v>761</v>
      </c>
      <c r="T122" s="27"/>
    </row>
    <row r="123" customFormat="false" ht="26.85" hidden="false" customHeight="false" outlineLevel="0" collapsed="false">
      <c r="A123" s="27" t="s">
        <v>762</v>
      </c>
      <c r="B123" s="27" t="s">
        <v>668</v>
      </c>
      <c r="C123" s="27" t="s">
        <v>669</v>
      </c>
      <c r="D123" s="28" t="n">
        <v>4</v>
      </c>
      <c r="E123" s="27" t="str">
        <f aca="false">B123&amp;" Mastery "&amp;INDEX(Tiers!$B$2:$B$6,MATCH(D123,Tiers!$A$2:$A$6,0))</f>
        <v>Bow Mastery 600</v>
      </c>
      <c r="F123" s="29" t="s">
        <v>763</v>
      </c>
      <c r="G123" s="27" t="s">
        <v>128</v>
      </c>
      <c r="H123" s="27" t="s">
        <v>727</v>
      </c>
      <c r="I123" s="27" t="s">
        <v>668</v>
      </c>
      <c r="J123" s="30" t="s">
        <v>764</v>
      </c>
      <c r="K123" s="27" t="s">
        <v>672</v>
      </c>
      <c r="L123" s="27" t="s">
        <v>765</v>
      </c>
      <c r="M123" s="29" t="s">
        <v>30</v>
      </c>
      <c r="N123" s="27" t="s">
        <v>766</v>
      </c>
      <c r="O123" s="31" t="n">
        <v>20</v>
      </c>
      <c r="P123" s="31" t="n">
        <v>25</v>
      </c>
      <c r="Q123" s="31" t="n">
        <v>1</v>
      </c>
      <c r="R123" s="31" t="n">
        <v>150</v>
      </c>
      <c r="S123" s="27" t="s">
        <v>761</v>
      </c>
      <c r="T123" s="27"/>
    </row>
    <row r="124" customFormat="false" ht="26.85" hidden="false" customHeight="false" outlineLevel="0" collapsed="false">
      <c r="A124" s="27" t="s">
        <v>767</v>
      </c>
      <c r="B124" s="27" t="s">
        <v>668</v>
      </c>
      <c r="C124" s="27" t="s">
        <v>695</v>
      </c>
      <c r="D124" s="28" t="n">
        <v>4</v>
      </c>
      <c r="E124" s="27" t="str">
        <f aca="false">B124&amp;" Mastery "&amp;INDEX(Tiers!$B$2:$B$6,MATCH(D124,Tiers!$A$2:$A$6,0))</f>
        <v>Bow Mastery 600</v>
      </c>
      <c r="F124" s="29" t="s">
        <v>768</v>
      </c>
      <c r="G124" s="27" t="s">
        <v>24</v>
      </c>
      <c r="H124" s="27" t="s">
        <v>739</v>
      </c>
      <c r="I124" s="27" t="s">
        <v>668</v>
      </c>
      <c r="J124" s="30" t="s">
        <v>769</v>
      </c>
      <c r="K124" s="27" t="s">
        <v>672</v>
      </c>
      <c r="L124" s="27" t="s">
        <v>770</v>
      </c>
      <c r="M124" s="29" t="s">
        <v>30</v>
      </c>
      <c r="N124" s="27" t="s">
        <v>771</v>
      </c>
      <c r="O124" s="31" t="n">
        <v>15</v>
      </c>
      <c r="P124" s="31" t="n">
        <v>25</v>
      </c>
      <c r="Q124" s="31" t="n">
        <v>1</v>
      </c>
      <c r="R124" s="31" t="n">
        <v>150</v>
      </c>
      <c r="S124" s="27" t="s">
        <v>761</v>
      </c>
      <c r="T124" s="27"/>
    </row>
    <row r="125" customFormat="false" ht="26.85" hidden="false" customHeight="false" outlineLevel="0" collapsed="false">
      <c r="A125" s="27" t="s">
        <v>772</v>
      </c>
      <c r="B125" s="27" t="s">
        <v>668</v>
      </c>
      <c r="C125" s="27" t="s">
        <v>669</v>
      </c>
      <c r="D125" s="28" t="n">
        <v>5</v>
      </c>
      <c r="E125" s="27" t="str">
        <f aca="false">B125&amp;" Mastery "&amp;INDEX(Tiers!$B$2:$B$6,MATCH(D125,Tiers!$A$2:$A$6,0))</f>
        <v>Bow Mastery 900</v>
      </c>
      <c r="F125" s="29" t="s">
        <v>773</v>
      </c>
      <c r="G125" s="27" t="s">
        <v>47</v>
      </c>
      <c r="H125" s="27" t="s">
        <v>774</v>
      </c>
      <c r="I125" s="27" t="s">
        <v>668</v>
      </c>
      <c r="J125" s="30" t="s">
        <v>775</v>
      </c>
      <c r="K125" s="27" t="s">
        <v>776</v>
      </c>
      <c r="L125" s="27" t="s">
        <v>777</v>
      </c>
      <c r="M125" s="29" t="s">
        <v>50</v>
      </c>
      <c r="N125" s="27" t="s">
        <v>51</v>
      </c>
      <c r="O125" s="31" t="n">
        <v>120</v>
      </c>
      <c r="P125" s="31" t="n">
        <v>50</v>
      </c>
      <c r="Q125" s="31" t="n">
        <v>10</v>
      </c>
      <c r="R125" s="31" t="n">
        <v>200</v>
      </c>
      <c r="S125" s="27" t="s">
        <v>778</v>
      </c>
      <c r="T125" s="27"/>
    </row>
    <row r="126" customFormat="false" ht="26.85" hidden="false" customHeight="false" outlineLevel="0" collapsed="false">
      <c r="A126" s="27" t="s">
        <v>779</v>
      </c>
      <c r="B126" s="27" t="s">
        <v>668</v>
      </c>
      <c r="C126" s="27" t="s">
        <v>695</v>
      </c>
      <c r="D126" s="28" t="n">
        <v>5</v>
      </c>
      <c r="E126" s="27" t="str">
        <f aca="false">B126&amp;" Mastery "&amp;INDEX(Tiers!$B$2:$B$6,MATCH(D126,Tiers!$A$2:$A$6,0))</f>
        <v>Bow Mastery 900</v>
      </c>
      <c r="F126" s="29" t="s">
        <v>780</v>
      </c>
      <c r="G126" s="27" t="s">
        <v>68</v>
      </c>
      <c r="H126" s="27" t="s">
        <v>781</v>
      </c>
      <c r="I126" s="27" t="s">
        <v>668</v>
      </c>
      <c r="J126" s="30" t="s">
        <v>782</v>
      </c>
      <c r="K126" s="27" t="s">
        <v>672</v>
      </c>
      <c r="L126" s="27" t="s">
        <v>783</v>
      </c>
      <c r="M126" s="29" t="s">
        <v>58</v>
      </c>
      <c r="N126" s="27" t="s">
        <v>784</v>
      </c>
      <c r="O126" s="31" t="n">
        <v>90</v>
      </c>
      <c r="P126" s="31" t="n">
        <v>50</v>
      </c>
      <c r="Q126" s="31" t="n">
        <v>10</v>
      </c>
      <c r="R126" s="31" t="n">
        <v>200</v>
      </c>
      <c r="S126" s="27" t="s">
        <v>778</v>
      </c>
      <c r="T126" s="27"/>
    </row>
    <row r="127" customFormat="false" ht="39.55" hidden="false" customHeight="false" outlineLevel="0" collapsed="false">
      <c r="A127" s="32" t="s">
        <v>785</v>
      </c>
      <c r="B127" s="32" t="s">
        <v>786</v>
      </c>
      <c r="C127" s="32" t="s">
        <v>787</v>
      </c>
      <c r="D127" s="33" t="n">
        <v>1</v>
      </c>
      <c r="E127" s="32" t="str">
        <f aca="false">B127&amp;" Mastery "&amp;INDEX(Tiers!$B$2:$B$6,MATCH(D127,Tiers!$A$2:$A$6,0))</f>
        <v>Hammer Mastery 0</v>
      </c>
      <c r="F127" s="34" t="s">
        <v>787</v>
      </c>
      <c r="G127" s="32" t="s">
        <v>24</v>
      </c>
      <c r="H127" s="32" t="s">
        <v>25</v>
      </c>
      <c r="I127" s="32" t="s">
        <v>786</v>
      </c>
      <c r="J127" s="35" t="s">
        <v>788</v>
      </c>
      <c r="K127" s="32" t="s">
        <v>789</v>
      </c>
      <c r="L127" s="32" t="s">
        <v>790</v>
      </c>
      <c r="M127" s="34" t="s">
        <v>30</v>
      </c>
      <c r="N127" s="32" t="s">
        <v>791</v>
      </c>
      <c r="O127" s="36" t="n">
        <v>4</v>
      </c>
      <c r="P127" s="36" t="n">
        <v>5</v>
      </c>
      <c r="Q127" s="36" t="n">
        <v>0.2</v>
      </c>
      <c r="R127" s="36" t="n">
        <v>50</v>
      </c>
      <c r="S127" s="32" t="s">
        <v>792</v>
      </c>
      <c r="T127" s="32"/>
    </row>
    <row r="128" customFormat="false" ht="39.55" hidden="false" customHeight="false" outlineLevel="0" collapsed="false">
      <c r="A128" s="32" t="s">
        <v>793</v>
      </c>
      <c r="B128" s="32" t="s">
        <v>786</v>
      </c>
      <c r="C128" s="32" t="s">
        <v>794</v>
      </c>
      <c r="D128" s="33" t="n">
        <v>1</v>
      </c>
      <c r="E128" s="32" t="str">
        <f aca="false">B128&amp;" Mastery "&amp;INDEX(Tiers!$B$2:$B$6,MATCH(D128,Tiers!$A$2:$A$6,0))</f>
        <v>Hammer Mastery 0</v>
      </c>
      <c r="F128" s="34" t="s">
        <v>795</v>
      </c>
      <c r="G128" s="32" t="s">
        <v>68</v>
      </c>
      <c r="H128" s="32" t="s">
        <v>25</v>
      </c>
      <c r="I128" s="32" t="s">
        <v>786</v>
      </c>
      <c r="J128" s="35" t="s">
        <v>796</v>
      </c>
      <c r="K128" s="32" t="s">
        <v>789</v>
      </c>
      <c r="L128" s="32" t="s">
        <v>797</v>
      </c>
      <c r="M128" s="34" t="s">
        <v>50</v>
      </c>
      <c r="N128" s="32" t="s">
        <v>508</v>
      </c>
      <c r="O128" s="36" t="n">
        <v>8</v>
      </c>
      <c r="P128" s="36" t="n">
        <v>5</v>
      </c>
      <c r="Q128" s="36" t="n">
        <v>0.2</v>
      </c>
      <c r="R128" s="36" t="n">
        <v>50</v>
      </c>
      <c r="S128" s="32" t="s">
        <v>792</v>
      </c>
      <c r="T128" s="32"/>
    </row>
    <row r="129" customFormat="false" ht="39.55" hidden="false" customHeight="false" outlineLevel="0" collapsed="false">
      <c r="A129" s="32" t="s">
        <v>798</v>
      </c>
      <c r="B129" s="32" t="s">
        <v>786</v>
      </c>
      <c r="C129" s="32" t="s">
        <v>799</v>
      </c>
      <c r="D129" s="33" t="n">
        <v>1</v>
      </c>
      <c r="E129" s="32" t="str">
        <f aca="false">B129&amp;" Mastery "&amp;INDEX(Tiers!$B$2:$B$6,MATCH(D129,Tiers!$A$2:$A$6,0))</f>
        <v>Hammer Mastery 0</v>
      </c>
      <c r="F129" s="34" t="s">
        <v>800</v>
      </c>
      <c r="G129" s="32" t="s">
        <v>47</v>
      </c>
      <c r="H129" s="32" t="s">
        <v>25</v>
      </c>
      <c r="I129" s="32" t="s">
        <v>786</v>
      </c>
      <c r="J129" s="35" t="s">
        <v>801</v>
      </c>
      <c r="K129" s="32" t="s">
        <v>802</v>
      </c>
      <c r="L129" s="32" t="s">
        <v>803</v>
      </c>
      <c r="M129" s="34" t="s">
        <v>50</v>
      </c>
      <c r="N129" s="32" t="s">
        <v>51</v>
      </c>
      <c r="O129" s="36" t="n">
        <v>20</v>
      </c>
      <c r="P129" s="36" t="n">
        <v>5</v>
      </c>
      <c r="Q129" s="36" t="n">
        <v>0.4</v>
      </c>
      <c r="R129" s="36" t="n">
        <v>50</v>
      </c>
      <c r="S129" s="32" t="s">
        <v>804</v>
      </c>
      <c r="T129" s="32"/>
    </row>
    <row r="130" customFormat="false" ht="39.55" hidden="false" customHeight="false" outlineLevel="0" collapsed="false">
      <c r="A130" s="32" t="s">
        <v>805</v>
      </c>
      <c r="B130" s="32" t="s">
        <v>786</v>
      </c>
      <c r="C130" s="32" t="s">
        <v>787</v>
      </c>
      <c r="D130" s="33" t="n">
        <v>1</v>
      </c>
      <c r="E130" s="32" t="str">
        <f aca="false">B130&amp;" Mastery "&amp;INDEX(Tiers!$B$2:$B$6,MATCH(D130,Tiers!$A$2:$A$6,0))</f>
        <v>Hammer Mastery 0</v>
      </c>
      <c r="F130" s="34" t="s">
        <v>806</v>
      </c>
      <c r="G130" s="32" t="s">
        <v>68</v>
      </c>
      <c r="H130" s="32" t="s">
        <v>25</v>
      </c>
      <c r="I130" s="32" t="s">
        <v>786</v>
      </c>
      <c r="J130" s="35" t="s">
        <v>807</v>
      </c>
      <c r="K130" s="32" t="s">
        <v>789</v>
      </c>
      <c r="L130" s="32" t="s">
        <v>808</v>
      </c>
      <c r="M130" s="34" t="s">
        <v>43</v>
      </c>
      <c r="N130" s="32" t="s">
        <v>809</v>
      </c>
      <c r="O130" s="36" t="n">
        <v>6</v>
      </c>
      <c r="P130" s="36" t="n">
        <v>5</v>
      </c>
      <c r="Q130" s="36" t="n">
        <v>0.2</v>
      </c>
      <c r="R130" s="36" t="n">
        <v>50</v>
      </c>
      <c r="S130" s="32" t="s">
        <v>792</v>
      </c>
      <c r="T130" s="32"/>
    </row>
    <row r="131" customFormat="false" ht="39.55" hidden="false" customHeight="false" outlineLevel="0" collapsed="false">
      <c r="A131" s="32" t="s">
        <v>810</v>
      </c>
      <c r="B131" s="32" t="s">
        <v>786</v>
      </c>
      <c r="C131" s="32" t="s">
        <v>794</v>
      </c>
      <c r="D131" s="33" t="n">
        <v>2</v>
      </c>
      <c r="E131" s="32" t="str">
        <f aca="false">B131&amp;" Mastery "&amp;INDEX(Tiers!$B$2:$B$6,MATCH(D131,Tiers!$A$2:$A$6,0))</f>
        <v>Hammer Mastery 150</v>
      </c>
      <c r="F131" s="34" t="s">
        <v>811</v>
      </c>
      <c r="G131" s="32" t="s">
        <v>68</v>
      </c>
      <c r="H131" s="32" t="s">
        <v>795</v>
      </c>
      <c r="I131" s="32" t="s">
        <v>786</v>
      </c>
      <c r="J131" s="35" t="s">
        <v>812</v>
      </c>
      <c r="K131" s="32" t="s">
        <v>789</v>
      </c>
      <c r="L131" s="32" t="s">
        <v>813</v>
      </c>
      <c r="M131" s="34" t="s">
        <v>43</v>
      </c>
      <c r="N131" s="32" t="s">
        <v>814</v>
      </c>
      <c r="O131" s="36" t="n">
        <v>12</v>
      </c>
      <c r="P131" s="36" t="n">
        <v>10</v>
      </c>
      <c r="Q131" s="36" t="n">
        <v>0.6</v>
      </c>
      <c r="R131" s="36" t="n">
        <v>70</v>
      </c>
      <c r="S131" s="32" t="s">
        <v>815</v>
      </c>
      <c r="T131" s="32"/>
    </row>
    <row r="132" customFormat="false" ht="39.55" hidden="false" customHeight="false" outlineLevel="0" collapsed="false">
      <c r="A132" s="32" t="s">
        <v>816</v>
      </c>
      <c r="B132" s="32" t="s">
        <v>786</v>
      </c>
      <c r="C132" s="32" t="s">
        <v>787</v>
      </c>
      <c r="D132" s="33" t="n">
        <v>2</v>
      </c>
      <c r="E132" s="32" t="str">
        <f aca="false">B132&amp;" Mastery "&amp;INDEX(Tiers!$B$2:$B$6,MATCH(D132,Tiers!$A$2:$A$6,0))</f>
        <v>Hammer Mastery 150</v>
      </c>
      <c r="F132" s="34" t="s">
        <v>817</v>
      </c>
      <c r="G132" s="32" t="s">
        <v>363</v>
      </c>
      <c r="H132" s="32" t="s">
        <v>787</v>
      </c>
      <c r="I132" s="32" t="s">
        <v>786</v>
      </c>
      <c r="J132" s="35" t="s">
        <v>818</v>
      </c>
      <c r="K132" s="32" t="s">
        <v>789</v>
      </c>
      <c r="L132" s="32" t="s">
        <v>819</v>
      </c>
      <c r="M132" s="34" t="s">
        <v>30</v>
      </c>
      <c r="N132" s="32" t="s">
        <v>791</v>
      </c>
      <c r="O132" s="36" t="n">
        <v>14</v>
      </c>
      <c r="P132" s="36" t="n">
        <v>10</v>
      </c>
      <c r="Q132" s="36" t="n">
        <v>0.6</v>
      </c>
      <c r="R132" s="36" t="n">
        <v>70</v>
      </c>
      <c r="S132" s="32" t="s">
        <v>815</v>
      </c>
      <c r="T132" s="32"/>
    </row>
    <row r="133" customFormat="false" ht="39.55" hidden="false" customHeight="false" outlineLevel="0" collapsed="false">
      <c r="A133" s="32" t="s">
        <v>820</v>
      </c>
      <c r="B133" s="32" t="s">
        <v>786</v>
      </c>
      <c r="C133" s="32" t="s">
        <v>794</v>
      </c>
      <c r="D133" s="33" t="n">
        <v>2</v>
      </c>
      <c r="E133" s="32" t="str">
        <f aca="false">B133&amp;" Mastery "&amp;INDEX(Tiers!$B$2:$B$6,MATCH(D133,Tiers!$A$2:$A$6,0))</f>
        <v>Hammer Mastery 150</v>
      </c>
      <c r="F133" s="34" t="s">
        <v>821</v>
      </c>
      <c r="G133" s="32" t="s">
        <v>822</v>
      </c>
      <c r="H133" s="32" t="s">
        <v>795</v>
      </c>
      <c r="I133" s="32" t="s">
        <v>786</v>
      </c>
      <c r="J133" s="35" t="s">
        <v>823</v>
      </c>
      <c r="K133" s="32" t="s">
        <v>789</v>
      </c>
      <c r="L133" s="32" t="s">
        <v>824</v>
      </c>
      <c r="M133" s="34" t="s">
        <v>58</v>
      </c>
      <c r="N133" s="32" t="s">
        <v>825</v>
      </c>
      <c r="O133" s="36" t="n">
        <v>15</v>
      </c>
      <c r="P133" s="36" t="n">
        <v>10</v>
      </c>
      <c r="Q133" s="36" t="n">
        <v>0.6</v>
      </c>
      <c r="R133" s="36" t="n">
        <v>70</v>
      </c>
      <c r="S133" s="32" t="s">
        <v>815</v>
      </c>
      <c r="T133" s="32"/>
    </row>
    <row r="134" customFormat="false" ht="39.55" hidden="false" customHeight="false" outlineLevel="0" collapsed="false">
      <c r="A134" s="32" t="s">
        <v>826</v>
      </c>
      <c r="B134" s="32" t="s">
        <v>786</v>
      </c>
      <c r="C134" s="32" t="s">
        <v>787</v>
      </c>
      <c r="D134" s="33" t="n">
        <v>2</v>
      </c>
      <c r="E134" s="32" t="str">
        <f aca="false">B134&amp;" Mastery "&amp;INDEX(Tiers!$B$2:$B$6,MATCH(D134,Tiers!$A$2:$A$6,0))</f>
        <v>Hammer Mastery 150</v>
      </c>
      <c r="F134" s="34" t="s">
        <v>827</v>
      </c>
      <c r="G134" s="32" t="s">
        <v>828</v>
      </c>
      <c r="H134" s="32" t="s">
        <v>806</v>
      </c>
      <c r="I134" s="32" t="s">
        <v>786</v>
      </c>
      <c r="J134" s="35" t="s">
        <v>829</v>
      </c>
      <c r="K134" s="32" t="s">
        <v>789</v>
      </c>
      <c r="L134" s="32" t="s">
        <v>830</v>
      </c>
      <c r="M134" s="34" t="s">
        <v>43</v>
      </c>
      <c r="N134" s="32" t="s">
        <v>831</v>
      </c>
      <c r="O134" s="36" t="n">
        <v>10</v>
      </c>
      <c r="P134" s="36" t="n">
        <v>10</v>
      </c>
      <c r="Q134" s="36" t="n">
        <v>0.6</v>
      </c>
      <c r="R134" s="36" t="n">
        <v>70</v>
      </c>
      <c r="S134" s="32" t="s">
        <v>815</v>
      </c>
      <c r="T134" s="32"/>
    </row>
    <row r="135" customFormat="false" ht="39.55" hidden="false" customHeight="false" outlineLevel="0" collapsed="false">
      <c r="A135" s="32" t="s">
        <v>832</v>
      </c>
      <c r="B135" s="32" t="s">
        <v>786</v>
      </c>
      <c r="C135" s="32" t="s">
        <v>799</v>
      </c>
      <c r="D135" s="33" t="n">
        <v>2</v>
      </c>
      <c r="E135" s="32" t="str">
        <f aca="false">B135&amp;" Mastery "&amp;INDEX(Tiers!$B$2:$B$6,MATCH(D135,Tiers!$A$2:$A$6,0))</f>
        <v>Hammer Mastery 150</v>
      </c>
      <c r="F135" s="34" t="s">
        <v>833</v>
      </c>
      <c r="G135" s="32" t="s">
        <v>47</v>
      </c>
      <c r="H135" s="32" t="s">
        <v>800</v>
      </c>
      <c r="I135" s="32" t="s">
        <v>786</v>
      </c>
      <c r="J135" s="35" t="s">
        <v>834</v>
      </c>
      <c r="K135" s="32" t="s">
        <v>789</v>
      </c>
      <c r="L135" s="32" t="s">
        <v>835</v>
      </c>
      <c r="M135" s="34" t="s">
        <v>50</v>
      </c>
      <c r="N135" s="32" t="s">
        <v>51</v>
      </c>
      <c r="O135" s="36" t="n">
        <v>20</v>
      </c>
      <c r="P135" s="36" t="n">
        <v>10</v>
      </c>
      <c r="Q135" s="36" t="n">
        <v>0.6</v>
      </c>
      <c r="R135" s="36" t="n">
        <v>70</v>
      </c>
      <c r="S135" s="32" t="s">
        <v>815</v>
      </c>
      <c r="T135" s="32"/>
    </row>
    <row r="136" customFormat="false" ht="39.55" hidden="false" customHeight="false" outlineLevel="0" collapsed="false">
      <c r="A136" s="32" t="s">
        <v>836</v>
      </c>
      <c r="B136" s="32" t="s">
        <v>786</v>
      </c>
      <c r="C136" s="32" t="s">
        <v>794</v>
      </c>
      <c r="D136" s="33" t="n">
        <v>3</v>
      </c>
      <c r="E136" s="32" t="str">
        <f aca="false">B136&amp;" Mastery "&amp;INDEX(Tiers!$B$2:$B$6,MATCH(D136,Tiers!$A$2:$A$6,0))</f>
        <v>Hammer Mastery 350</v>
      </c>
      <c r="F136" s="34" t="s">
        <v>837</v>
      </c>
      <c r="G136" s="32" t="s">
        <v>280</v>
      </c>
      <c r="H136" s="32" t="s">
        <v>821</v>
      </c>
      <c r="I136" s="32" t="s">
        <v>786</v>
      </c>
      <c r="J136" s="35" t="s">
        <v>838</v>
      </c>
      <c r="K136" s="32" t="s">
        <v>789</v>
      </c>
      <c r="L136" s="32" t="s">
        <v>839</v>
      </c>
      <c r="M136" s="34" t="s">
        <v>58</v>
      </c>
      <c r="N136" s="32" t="s">
        <v>840</v>
      </c>
      <c r="O136" s="36" t="n">
        <v>20</v>
      </c>
      <c r="P136" s="36" t="n">
        <v>15</v>
      </c>
      <c r="Q136" s="36" t="n">
        <v>0.8</v>
      </c>
      <c r="R136" s="36" t="n">
        <v>100</v>
      </c>
      <c r="S136" s="32" t="s">
        <v>841</v>
      </c>
      <c r="T136" s="32"/>
    </row>
    <row r="137" customFormat="false" ht="39.55" hidden="false" customHeight="false" outlineLevel="0" collapsed="false">
      <c r="A137" s="32" t="s">
        <v>842</v>
      </c>
      <c r="B137" s="32" t="s">
        <v>786</v>
      </c>
      <c r="C137" s="32" t="s">
        <v>787</v>
      </c>
      <c r="D137" s="33" t="n">
        <v>3</v>
      </c>
      <c r="E137" s="32" t="str">
        <f aca="false">B137&amp;" Mastery "&amp;INDEX(Tiers!$B$2:$B$6,MATCH(D137,Tiers!$A$2:$A$6,0))</f>
        <v>Hammer Mastery 350</v>
      </c>
      <c r="F137" s="34" t="s">
        <v>843</v>
      </c>
      <c r="G137" s="32" t="s">
        <v>68</v>
      </c>
      <c r="H137" s="32" t="s">
        <v>827</v>
      </c>
      <c r="I137" s="32" t="s">
        <v>786</v>
      </c>
      <c r="J137" s="35" t="s">
        <v>844</v>
      </c>
      <c r="K137" s="32" t="s">
        <v>789</v>
      </c>
      <c r="L137" s="32" t="s">
        <v>845</v>
      </c>
      <c r="M137" s="34" t="s">
        <v>50</v>
      </c>
      <c r="N137" s="32" t="s">
        <v>206</v>
      </c>
      <c r="O137" s="36" t="n">
        <v>16</v>
      </c>
      <c r="P137" s="36" t="n">
        <v>15</v>
      </c>
      <c r="Q137" s="36" t="n">
        <v>0.8</v>
      </c>
      <c r="R137" s="36" t="n">
        <v>100</v>
      </c>
      <c r="S137" s="32" t="s">
        <v>841</v>
      </c>
      <c r="T137" s="32"/>
    </row>
    <row r="138" customFormat="false" ht="39.55" hidden="false" customHeight="false" outlineLevel="0" collapsed="false">
      <c r="A138" s="32" t="s">
        <v>846</v>
      </c>
      <c r="B138" s="32" t="s">
        <v>786</v>
      </c>
      <c r="C138" s="32" t="s">
        <v>787</v>
      </c>
      <c r="D138" s="33" t="n">
        <v>3</v>
      </c>
      <c r="E138" s="32" t="str">
        <f aca="false">B138&amp;" Mastery "&amp;INDEX(Tiers!$B$2:$B$6,MATCH(D138,Tiers!$A$2:$A$6,0))</f>
        <v>Hammer Mastery 350</v>
      </c>
      <c r="F138" s="34" t="s">
        <v>847</v>
      </c>
      <c r="G138" s="32" t="s">
        <v>102</v>
      </c>
      <c r="H138" s="32" t="s">
        <v>817</v>
      </c>
      <c r="I138" s="32" t="s">
        <v>786</v>
      </c>
      <c r="J138" s="35" t="s">
        <v>848</v>
      </c>
      <c r="K138" s="32" t="s">
        <v>789</v>
      </c>
      <c r="L138" s="32" t="s">
        <v>849</v>
      </c>
      <c r="M138" s="34" t="s">
        <v>43</v>
      </c>
      <c r="N138" s="32" t="s">
        <v>850</v>
      </c>
      <c r="O138" s="36" t="n">
        <v>18</v>
      </c>
      <c r="P138" s="36" t="n">
        <v>15</v>
      </c>
      <c r="Q138" s="36" t="n">
        <v>0.8</v>
      </c>
      <c r="R138" s="36" t="n">
        <v>100</v>
      </c>
      <c r="S138" s="32" t="s">
        <v>841</v>
      </c>
      <c r="T138" s="32"/>
    </row>
    <row r="139" customFormat="false" ht="39.55" hidden="false" customHeight="false" outlineLevel="0" collapsed="false">
      <c r="A139" s="32" t="s">
        <v>851</v>
      </c>
      <c r="B139" s="32" t="s">
        <v>786</v>
      </c>
      <c r="C139" s="32" t="s">
        <v>794</v>
      </c>
      <c r="D139" s="33" t="n">
        <v>3</v>
      </c>
      <c r="E139" s="32" t="str">
        <f aca="false">B139&amp;" Mastery "&amp;INDEX(Tiers!$B$2:$B$6,MATCH(D139,Tiers!$A$2:$A$6,0))</f>
        <v>Hammer Mastery 350</v>
      </c>
      <c r="F139" s="34" t="s">
        <v>852</v>
      </c>
      <c r="G139" s="32" t="s">
        <v>828</v>
      </c>
      <c r="H139" s="32" t="s">
        <v>853</v>
      </c>
      <c r="I139" s="32" t="s">
        <v>786</v>
      </c>
      <c r="J139" s="35" t="s">
        <v>854</v>
      </c>
      <c r="K139" s="32" t="s">
        <v>789</v>
      </c>
      <c r="L139" s="32" t="s">
        <v>855</v>
      </c>
      <c r="M139" s="34" t="s">
        <v>58</v>
      </c>
      <c r="N139" s="32" t="s">
        <v>856</v>
      </c>
      <c r="O139" s="36" t="n">
        <v>25</v>
      </c>
      <c r="P139" s="36" t="n">
        <v>15</v>
      </c>
      <c r="Q139" s="36" t="n">
        <v>0.8</v>
      </c>
      <c r="R139" s="36" t="n">
        <v>100</v>
      </c>
      <c r="S139" s="32" t="s">
        <v>841</v>
      </c>
      <c r="T139" s="32"/>
    </row>
    <row r="140" customFormat="false" ht="39.55" hidden="false" customHeight="false" outlineLevel="0" collapsed="false">
      <c r="A140" s="32" t="s">
        <v>857</v>
      </c>
      <c r="B140" s="32" t="s">
        <v>786</v>
      </c>
      <c r="C140" s="32" t="s">
        <v>799</v>
      </c>
      <c r="D140" s="33" t="n">
        <v>3</v>
      </c>
      <c r="E140" s="32" t="str">
        <f aca="false">B140&amp;" Mastery "&amp;INDEX(Tiers!$B$2:$B$6,MATCH(D140,Tiers!$A$2:$A$6,0))</f>
        <v>Hammer Mastery 350</v>
      </c>
      <c r="F140" s="34" t="s">
        <v>858</v>
      </c>
      <c r="G140" s="32" t="s">
        <v>47</v>
      </c>
      <c r="H140" s="32" t="s">
        <v>833</v>
      </c>
      <c r="I140" s="32" t="s">
        <v>786</v>
      </c>
      <c r="J140" s="35" t="s">
        <v>859</v>
      </c>
      <c r="K140" s="32" t="s">
        <v>860</v>
      </c>
      <c r="L140" s="32" t="s">
        <v>861</v>
      </c>
      <c r="M140" s="34" t="s">
        <v>50</v>
      </c>
      <c r="N140" s="32" t="s">
        <v>51</v>
      </c>
      <c r="O140" s="36" t="n">
        <v>40</v>
      </c>
      <c r="P140" s="36" t="n">
        <v>15</v>
      </c>
      <c r="Q140" s="36" t="n">
        <v>1.6</v>
      </c>
      <c r="R140" s="36" t="n">
        <v>100</v>
      </c>
      <c r="S140" s="32" t="s">
        <v>862</v>
      </c>
      <c r="T140" s="32"/>
    </row>
    <row r="141" customFormat="false" ht="39.55" hidden="false" customHeight="false" outlineLevel="0" collapsed="false">
      <c r="A141" s="32" t="s">
        <v>863</v>
      </c>
      <c r="B141" s="32" t="s">
        <v>786</v>
      </c>
      <c r="C141" s="32" t="s">
        <v>794</v>
      </c>
      <c r="D141" s="33" t="n">
        <v>4</v>
      </c>
      <c r="E141" s="32" t="str">
        <f aca="false">B141&amp;" Mastery "&amp;INDEX(Tiers!$B$2:$B$6,MATCH(D141,Tiers!$A$2:$A$6,0))</f>
        <v>Hammer Mastery 600</v>
      </c>
      <c r="F141" s="34" t="s">
        <v>864</v>
      </c>
      <c r="G141" s="32" t="s">
        <v>822</v>
      </c>
      <c r="H141" s="32" t="s">
        <v>837</v>
      </c>
      <c r="I141" s="32" t="s">
        <v>786</v>
      </c>
      <c r="J141" s="35" t="s">
        <v>865</v>
      </c>
      <c r="K141" s="32" t="s">
        <v>789</v>
      </c>
      <c r="L141" s="32" t="s">
        <v>866</v>
      </c>
      <c r="M141" s="34" t="s">
        <v>58</v>
      </c>
      <c r="N141" s="32" t="s">
        <v>867</v>
      </c>
      <c r="O141" s="36" t="n">
        <v>30</v>
      </c>
      <c r="P141" s="36" t="n">
        <v>25</v>
      </c>
      <c r="Q141" s="36" t="n">
        <v>2</v>
      </c>
      <c r="R141" s="36" t="n">
        <v>150</v>
      </c>
      <c r="S141" s="32" t="s">
        <v>868</v>
      </c>
      <c r="T141" s="32"/>
    </row>
    <row r="142" customFormat="false" ht="39.55" hidden="false" customHeight="false" outlineLevel="0" collapsed="false">
      <c r="A142" s="32" t="s">
        <v>869</v>
      </c>
      <c r="B142" s="32" t="s">
        <v>786</v>
      </c>
      <c r="C142" s="32" t="s">
        <v>794</v>
      </c>
      <c r="D142" s="33" t="n">
        <v>4</v>
      </c>
      <c r="E142" s="32" t="str">
        <f aca="false">B142&amp;" Mastery "&amp;INDEX(Tiers!$B$2:$B$6,MATCH(D142,Tiers!$A$2:$A$6,0))</f>
        <v>Hammer Mastery 600</v>
      </c>
      <c r="F142" s="34" t="s">
        <v>870</v>
      </c>
      <c r="G142" s="32" t="s">
        <v>68</v>
      </c>
      <c r="H142" s="32" t="s">
        <v>811</v>
      </c>
      <c r="I142" s="32" t="s">
        <v>786</v>
      </c>
      <c r="J142" s="35" t="s">
        <v>870</v>
      </c>
      <c r="K142" s="32" t="s">
        <v>789</v>
      </c>
      <c r="L142" s="32" t="s">
        <v>871</v>
      </c>
      <c r="M142" s="34" t="s">
        <v>43</v>
      </c>
      <c r="N142" s="32" t="s">
        <v>872</v>
      </c>
      <c r="O142" s="36" t="n">
        <v>25</v>
      </c>
      <c r="P142" s="36" t="n">
        <v>25</v>
      </c>
      <c r="Q142" s="36" t="n">
        <v>1</v>
      </c>
      <c r="R142" s="36" t="n">
        <v>150</v>
      </c>
      <c r="S142" s="32" t="s">
        <v>873</v>
      </c>
      <c r="T142" s="32"/>
    </row>
    <row r="143" customFormat="false" ht="39.55" hidden="false" customHeight="false" outlineLevel="0" collapsed="false">
      <c r="A143" s="32" t="s">
        <v>874</v>
      </c>
      <c r="B143" s="32" t="s">
        <v>786</v>
      </c>
      <c r="C143" s="32" t="s">
        <v>787</v>
      </c>
      <c r="D143" s="33" t="n">
        <v>4</v>
      </c>
      <c r="E143" s="32" t="str">
        <f aca="false">B143&amp;" Mastery "&amp;INDEX(Tiers!$B$2:$B$6,MATCH(D143,Tiers!$A$2:$A$6,0))</f>
        <v>Hammer Mastery 600</v>
      </c>
      <c r="F143" s="34" t="s">
        <v>875</v>
      </c>
      <c r="G143" s="32" t="s">
        <v>828</v>
      </c>
      <c r="H143" s="32" t="s">
        <v>876</v>
      </c>
      <c r="I143" s="32" t="s">
        <v>786</v>
      </c>
      <c r="J143" s="35" t="s">
        <v>877</v>
      </c>
      <c r="K143" s="32" t="s">
        <v>789</v>
      </c>
      <c r="L143" s="32" t="s">
        <v>878</v>
      </c>
      <c r="M143" s="34" t="s">
        <v>50</v>
      </c>
      <c r="N143" s="32" t="s">
        <v>206</v>
      </c>
      <c r="O143" s="36" t="n">
        <v>25</v>
      </c>
      <c r="P143" s="36" t="n">
        <v>25</v>
      </c>
      <c r="Q143" s="36" t="n">
        <v>1</v>
      </c>
      <c r="R143" s="36" t="n">
        <v>150</v>
      </c>
      <c r="S143" s="32" t="s">
        <v>873</v>
      </c>
      <c r="T143" s="32"/>
    </row>
    <row r="144" customFormat="false" ht="39.55" hidden="false" customHeight="false" outlineLevel="0" collapsed="false">
      <c r="A144" s="32" t="s">
        <v>879</v>
      </c>
      <c r="B144" s="32" t="s">
        <v>786</v>
      </c>
      <c r="C144" s="32" t="s">
        <v>799</v>
      </c>
      <c r="D144" s="33" t="n">
        <v>4</v>
      </c>
      <c r="E144" s="32" t="str">
        <f aca="false">B144&amp;" Mastery "&amp;INDEX(Tiers!$B$2:$B$6,MATCH(D144,Tiers!$A$2:$A$6,0))</f>
        <v>Hammer Mastery 600</v>
      </c>
      <c r="F144" s="34" t="s">
        <v>880</v>
      </c>
      <c r="G144" s="32" t="s">
        <v>881</v>
      </c>
      <c r="H144" s="32" t="s">
        <v>858</v>
      </c>
      <c r="I144" s="32" t="s">
        <v>786</v>
      </c>
      <c r="J144" s="35" t="s">
        <v>882</v>
      </c>
      <c r="K144" s="32" t="s">
        <v>789</v>
      </c>
      <c r="L144" s="32" t="s">
        <v>883</v>
      </c>
      <c r="M144" s="34" t="s">
        <v>58</v>
      </c>
      <c r="N144" s="32" t="s">
        <v>884</v>
      </c>
      <c r="O144" s="36" t="n">
        <v>25</v>
      </c>
      <c r="P144" s="36" t="n">
        <v>25</v>
      </c>
      <c r="Q144" s="36" t="n">
        <v>1</v>
      </c>
      <c r="R144" s="36" t="n">
        <v>150</v>
      </c>
      <c r="S144" s="32" t="s">
        <v>873</v>
      </c>
      <c r="T144" s="32"/>
    </row>
    <row r="145" customFormat="false" ht="39.55" hidden="false" customHeight="false" outlineLevel="0" collapsed="false">
      <c r="A145" s="32" t="s">
        <v>885</v>
      </c>
      <c r="B145" s="32" t="s">
        <v>786</v>
      </c>
      <c r="C145" s="32" t="s">
        <v>794</v>
      </c>
      <c r="D145" s="33" t="n">
        <v>5</v>
      </c>
      <c r="E145" s="32" t="str">
        <f aca="false">B145&amp;" Mastery "&amp;INDEX(Tiers!$B$2:$B$6,MATCH(D145,Tiers!$A$2:$A$6,0))</f>
        <v>Hammer Mastery 900</v>
      </c>
      <c r="F145" s="34" t="s">
        <v>886</v>
      </c>
      <c r="G145" s="32" t="s">
        <v>68</v>
      </c>
      <c r="H145" s="32" t="s">
        <v>887</v>
      </c>
      <c r="I145" s="32" t="s">
        <v>786</v>
      </c>
      <c r="J145" s="35" t="s">
        <v>886</v>
      </c>
      <c r="K145" s="32" t="s">
        <v>789</v>
      </c>
      <c r="L145" s="32" t="s">
        <v>888</v>
      </c>
      <c r="M145" s="34" t="s">
        <v>58</v>
      </c>
      <c r="N145" s="32" t="s">
        <v>889</v>
      </c>
      <c r="O145" s="36" t="n">
        <v>90</v>
      </c>
      <c r="P145" s="36" t="n">
        <v>50</v>
      </c>
      <c r="Q145" s="36" t="n">
        <v>10</v>
      </c>
      <c r="R145" s="36" t="n">
        <v>200</v>
      </c>
      <c r="S145" s="32" t="s">
        <v>890</v>
      </c>
      <c r="T145" s="32"/>
    </row>
    <row r="146" customFormat="false" ht="39.55" hidden="false" customHeight="false" outlineLevel="0" collapsed="false">
      <c r="A146" s="32" t="s">
        <v>891</v>
      </c>
      <c r="B146" s="32" t="s">
        <v>786</v>
      </c>
      <c r="C146" s="32" t="s">
        <v>799</v>
      </c>
      <c r="D146" s="33" t="n">
        <v>5</v>
      </c>
      <c r="E146" s="32" t="str">
        <f aca="false">B146&amp;" Mastery "&amp;INDEX(Tiers!$B$2:$B$6,MATCH(D146,Tiers!$A$2:$A$6,0))</f>
        <v>Hammer Mastery 900</v>
      </c>
      <c r="F146" s="34" t="s">
        <v>892</v>
      </c>
      <c r="G146" s="32" t="s">
        <v>47</v>
      </c>
      <c r="H146" s="32" t="s">
        <v>893</v>
      </c>
      <c r="I146" s="32" t="s">
        <v>786</v>
      </c>
      <c r="J146" s="35" t="s">
        <v>894</v>
      </c>
      <c r="K146" s="32" t="s">
        <v>789</v>
      </c>
      <c r="L146" s="32" t="s">
        <v>895</v>
      </c>
      <c r="M146" s="34" t="s">
        <v>50</v>
      </c>
      <c r="N146" s="32" t="s">
        <v>896</v>
      </c>
      <c r="O146" s="36" t="n">
        <v>120</v>
      </c>
      <c r="P146" s="36" t="n">
        <v>50</v>
      </c>
      <c r="Q146" s="36" t="n">
        <v>10</v>
      </c>
      <c r="R146" s="36" t="n">
        <v>200</v>
      </c>
      <c r="S146" s="32" t="s">
        <v>890</v>
      </c>
      <c r="T146" s="32"/>
    </row>
  </sheetData>
  <autoFilter ref="A1:T146"/>
  <dataValidations count="2">
    <dataValidation allowBlank="false" errorStyle="stop" operator="between" showDropDown="false" showErrorMessage="false" showInputMessage="false" sqref="D2:D346" type="list">
      <formula1>"1,2,3,4,5"</formula1>
      <formula2>0</formula2>
    </dataValidation>
    <dataValidation allowBlank="false" errorStyle="stop" operator="between" showDropDown="false" showErrorMessage="false" showInputMessage="false" sqref="B2:B346" type="list">
      <formula1>"Fire,Earth,Water,Air,Sword,Bow,Hammer"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37" t="s">
        <v>3</v>
      </c>
      <c r="B1" s="37" t="s">
        <v>4</v>
      </c>
      <c r="C1" s="37" t="s">
        <v>897</v>
      </c>
    </row>
    <row r="2" customFormat="false" ht="15" hidden="false" customHeight="false" outlineLevel="0" collapsed="false">
      <c r="A2" s="38" t="n">
        <v>1</v>
      </c>
      <c r="B2" s="39" t="n">
        <v>0</v>
      </c>
      <c r="C2" s="38" t="s">
        <v>898</v>
      </c>
    </row>
    <row r="3" customFormat="false" ht="15" hidden="false" customHeight="false" outlineLevel="0" collapsed="false">
      <c r="A3" s="38" t="n">
        <v>2</v>
      </c>
      <c r="B3" s="39" t="n">
        <v>150</v>
      </c>
      <c r="C3" s="38" t="s">
        <v>899</v>
      </c>
    </row>
    <row r="4" customFormat="false" ht="15" hidden="false" customHeight="false" outlineLevel="0" collapsed="false">
      <c r="A4" s="38" t="n">
        <v>3</v>
      </c>
      <c r="B4" s="39" t="n">
        <v>350</v>
      </c>
      <c r="C4" s="38" t="s">
        <v>900</v>
      </c>
    </row>
    <row r="5" customFormat="false" ht="15" hidden="false" customHeight="false" outlineLevel="0" collapsed="false">
      <c r="A5" s="38" t="n">
        <v>4</v>
      </c>
      <c r="B5" s="39" t="n">
        <v>600</v>
      </c>
      <c r="C5" s="38" t="s">
        <v>901</v>
      </c>
    </row>
    <row r="6" customFormat="false" ht="15" hidden="false" customHeight="false" outlineLevel="0" collapsed="false">
      <c r="A6" s="38" t="n">
        <v>5</v>
      </c>
      <c r="B6" s="39" t="n">
        <v>900</v>
      </c>
      <c r="C6" s="38" t="s">
        <v>902</v>
      </c>
    </row>
    <row r="8" customFormat="false" ht="15" hidden="false" customHeight="false" outlineLevel="0" collapsed="false">
      <c r="A8" s="40" t="s">
        <v>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11" min="7" style="0" width="8"/>
  </cols>
  <sheetData>
    <row r="1" customFormat="false" ht="15" hidden="false" customHeight="false" outlineLevel="0" collapsed="false">
      <c r="A1" s="37" t="s">
        <v>1</v>
      </c>
      <c r="B1" s="37" t="s">
        <v>8</v>
      </c>
      <c r="C1" s="37" t="s">
        <v>904</v>
      </c>
      <c r="D1" s="37" t="s">
        <v>905</v>
      </c>
      <c r="E1" s="37" t="s">
        <v>906</v>
      </c>
      <c r="F1" s="37" t="s">
        <v>907</v>
      </c>
      <c r="G1" s="37" t="s">
        <v>908</v>
      </c>
      <c r="H1" s="37" t="s">
        <v>909</v>
      </c>
      <c r="I1" s="37" t="s">
        <v>910</v>
      </c>
      <c r="J1" s="37" t="s">
        <v>911</v>
      </c>
      <c r="K1" s="37" t="s">
        <v>912</v>
      </c>
    </row>
    <row r="2" customFormat="false" ht="15" hidden="false" customHeight="false" outlineLevel="0" collapsed="false">
      <c r="A2" s="41" t="s">
        <v>21</v>
      </c>
      <c r="B2" s="41" t="s">
        <v>26</v>
      </c>
      <c r="C2" s="41" t="s">
        <v>913</v>
      </c>
      <c r="D2" s="41" t="s">
        <v>914</v>
      </c>
      <c r="E2" s="41" t="s">
        <v>915</v>
      </c>
      <c r="F2" s="41" t="n">
        <f aca="false">COUNTIF(Abilities!$B:$B,A2)</f>
        <v>21</v>
      </c>
      <c r="G2" s="41" t="n">
        <f aca="false">COUNTIFS(Abilities!$B:$B,$A2,Abilities!$D:$D,1)</f>
        <v>4</v>
      </c>
      <c r="H2" s="41" t="n">
        <f aca="false">COUNTIFS(Abilities!$B:$B,$A2,Abilities!$D:$D,2)</f>
        <v>5</v>
      </c>
      <c r="I2" s="41" t="n">
        <f aca="false">COUNTIFS(Abilities!$B:$B,$A2,Abilities!$D:$D,3)</f>
        <v>5</v>
      </c>
      <c r="J2" s="41" t="n">
        <f aca="false">COUNTIFS(Abilities!$B:$B,$A2,Abilities!$D:$D,4)</f>
        <v>4</v>
      </c>
      <c r="K2" s="41" t="n">
        <f aca="false">COUNTIFS(Abilities!$B:$B,$A2,Abilities!$D:$D,5)</f>
        <v>3</v>
      </c>
    </row>
    <row r="3" customFormat="false" ht="26.85" hidden="false" customHeight="false" outlineLevel="0" collapsed="false">
      <c r="A3" s="41" t="s">
        <v>157</v>
      </c>
      <c r="B3" s="41" t="s">
        <v>26</v>
      </c>
      <c r="C3" s="41" t="s">
        <v>176</v>
      </c>
      <c r="D3" s="41" t="s">
        <v>916</v>
      </c>
      <c r="E3" s="41" t="s">
        <v>917</v>
      </c>
      <c r="F3" s="41" t="n">
        <f aca="false">COUNTIF(Abilities!$B:$B,A3)</f>
        <v>20</v>
      </c>
      <c r="G3" s="41" t="n">
        <f aca="false">COUNTIFS(Abilities!$B:$B,$A3,Abilities!$D:$D,1)</f>
        <v>4</v>
      </c>
      <c r="H3" s="41" t="n">
        <f aca="false">COUNTIFS(Abilities!$B:$B,$A3,Abilities!$D:$D,2)</f>
        <v>5</v>
      </c>
      <c r="I3" s="41" t="n">
        <f aca="false">COUNTIFS(Abilities!$B:$B,$A3,Abilities!$D:$D,3)</f>
        <v>5</v>
      </c>
      <c r="J3" s="41" t="n">
        <f aca="false">COUNTIFS(Abilities!$B:$B,$A3,Abilities!$D:$D,4)</f>
        <v>4</v>
      </c>
      <c r="K3" s="41" t="n">
        <f aca="false">COUNTIFS(Abilities!$B:$B,$A3,Abilities!$D:$D,5)</f>
        <v>2</v>
      </c>
    </row>
    <row r="4" customFormat="false" ht="15" hidden="false" customHeight="false" outlineLevel="0" collapsed="false">
      <c r="A4" s="41" t="s">
        <v>286</v>
      </c>
      <c r="B4" s="41" t="s">
        <v>26</v>
      </c>
      <c r="C4" s="41" t="s">
        <v>371</v>
      </c>
      <c r="D4" s="41" t="s">
        <v>918</v>
      </c>
      <c r="E4" s="41" t="s">
        <v>919</v>
      </c>
      <c r="F4" s="41" t="n">
        <f aca="false">COUNTIF(Abilities!$B:$B,A4)</f>
        <v>23</v>
      </c>
      <c r="G4" s="41" t="n">
        <f aca="false">COUNTIFS(Abilities!$B:$B,$A4,Abilities!$D:$D,1)</f>
        <v>4</v>
      </c>
      <c r="H4" s="41" t="n">
        <f aca="false">COUNTIFS(Abilities!$B:$B,$A4,Abilities!$D:$D,2)</f>
        <v>5</v>
      </c>
      <c r="I4" s="41" t="n">
        <f aca="false">COUNTIFS(Abilities!$B:$B,$A4,Abilities!$D:$D,3)</f>
        <v>5</v>
      </c>
      <c r="J4" s="41" t="n">
        <f aca="false">COUNTIFS(Abilities!$B:$B,$A4,Abilities!$D:$D,4)</f>
        <v>6</v>
      </c>
      <c r="K4" s="41" t="n">
        <f aca="false">COUNTIFS(Abilities!$B:$B,$A4,Abilities!$D:$D,5)</f>
        <v>3</v>
      </c>
    </row>
    <row r="5" customFormat="false" ht="15" hidden="false" customHeight="false" outlineLevel="0" collapsed="false">
      <c r="A5" s="41" t="s">
        <v>433</v>
      </c>
      <c r="B5" s="41" t="s">
        <v>26</v>
      </c>
      <c r="C5" s="41" t="s">
        <v>453</v>
      </c>
      <c r="D5" s="41" t="s">
        <v>920</v>
      </c>
      <c r="E5" s="41" t="s">
        <v>921</v>
      </c>
      <c r="F5" s="41" t="n">
        <f aca="false">COUNTIF(Abilities!$B:$B,A5)</f>
        <v>21</v>
      </c>
      <c r="G5" s="41" t="n">
        <f aca="false">COUNTIFS(Abilities!$B:$B,$A5,Abilities!$D:$D,1)</f>
        <v>4</v>
      </c>
      <c r="H5" s="41" t="n">
        <f aca="false">COUNTIFS(Abilities!$B:$B,$A5,Abilities!$D:$D,2)</f>
        <v>5</v>
      </c>
      <c r="I5" s="41" t="n">
        <f aca="false">COUNTIFS(Abilities!$B:$B,$A5,Abilities!$D:$D,3)</f>
        <v>5</v>
      </c>
      <c r="J5" s="41" t="n">
        <f aca="false">COUNTIFS(Abilities!$B:$B,$A5,Abilities!$D:$D,4)</f>
        <v>5</v>
      </c>
      <c r="K5" s="41" t="n">
        <f aca="false">COUNTIFS(Abilities!$B:$B,$A5,Abilities!$D:$D,5)</f>
        <v>2</v>
      </c>
    </row>
    <row r="6" customFormat="false" ht="15" hidden="false" customHeight="false" outlineLevel="0" collapsed="false">
      <c r="A6" s="41" t="s">
        <v>554</v>
      </c>
      <c r="B6" s="41" t="s">
        <v>554</v>
      </c>
      <c r="C6" s="41" t="s">
        <v>605</v>
      </c>
      <c r="D6" s="41" t="s">
        <v>922</v>
      </c>
      <c r="E6" s="41" t="s">
        <v>923</v>
      </c>
      <c r="F6" s="41" t="n">
        <f aca="false">COUNTIF(Abilities!$B:$B,A6)</f>
        <v>20</v>
      </c>
      <c r="G6" s="41" t="n">
        <f aca="false">COUNTIFS(Abilities!$B:$B,$A6,Abilities!$D:$D,1)</f>
        <v>4</v>
      </c>
      <c r="H6" s="41" t="n">
        <f aca="false">COUNTIFS(Abilities!$B:$B,$A6,Abilities!$D:$D,2)</f>
        <v>5</v>
      </c>
      <c r="I6" s="41" t="n">
        <f aca="false">COUNTIFS(Abilities!$B:$B,$A6,Abilities!$D:$D,3)</f>
        <v>5</v>
      </c>
      <c r="J6" s="41" t="n">
        <f aca="false">COUNTIFS(Abilities!$B:$B,$A6,Abilities!$D:$D,4)</f>
        <v>4</v>
      </c>
      <c r="K6" s="41" t="n">
        <f aca="false">COUNTIFS(Abilities!$B:$B,$A6,Abilities!$D:$D,5)</f>
        <v>2</v>
      </c>
    </row>
    <row r="7" customFormat="false" ht="15" hidden="false" customHeight="false" outlineLevel="0" collapsed="false">
      <c r="A7" s="41" t="s">
        <v>668</v>
      </c>
      <c r="B7" s="41" t="s">
        <v>668</v>
      </c>
      <c r="C7" s="41" t="s">
        <v>685</v>
      </c>
      <c r="D7" s="41" t="s">
        <v>924</v>
      </c>
      <c r="E7" s="41" t="s">
        <v>925</v>
      </c>
      <c r="F7" s="41" t="n">
        <f aca="false">COUNTIF(Abilities!$B:$B,A7)</f>
        <v>20</v>
      </c>
      <c r="G7" s="41" t="n">
        <f aca="false">COUNTIFS(Abilities!$B:$B,$A7,Abilities!$D:$D,1)</f>
        <v>4</v>
      </c>
      <c r="H7" s="41" t="n">
        <f aca="false">COUNTIFS(Abilities!$B:$B,$A7,Abilities!$D:$D,2)</f>
        <v>5</v>
      </c>
      <c r="I7" s="41" t="n">
        <f aca="false">COUNTIFS(Abilities!$B:$B,$A7,Abilities!$D:$D,3)</f>
        <v>5</v>
      </c>
      <c r="J7" s="41" t="n">
        <f aca="false">COUNTIFS(Abilities!$B:$B,$A7,Abilities!$D:$D,4)</f>
        <v>4</v>
      </c>
      <c r="K7" s="41" t="n">
        <f aca="false">COUNTIFS(Abilities!$B:$B,$A7,Abilities!$D:$D,5)</f>
        <v>2</v>
      </c>
    </row>
    <row r="8" customFormat="false" ht="15" hidden="false" customHeight="false" outlineLevel="0" collapsed="false">
      <c r="A8" s="41" t="s">
        <v>786</v>
      </c>
      <c r="B8" s="41" t="s">
        <v>786</v>
      </c>
      <c r="C8" s="41" t="s">
        <v>860</v>
      </c>
      <c r="D8" s="41" t="s">
        <v>926</v>
      </c>
      <c r="E8" s="41" t="s">
        <v>927</v>
      </c>
      <c r="F8" s="41" t="n">
        <f aca="false">COUNTIF(Abilities!$B:$B,A8)</f>
        <v>20</v>
      </c>
      <c r="G8" s="41" t="n">
        <f aca="false">COUNTIFS(Abilities!$B:$B,$A8,Abilities!$D:$D,1)</f>
        <v>4</v>
      </c>
      <c r="H8" s="41" t="n">
        <f aca="false">COUNTIFS(Abilities!$B:$B,$A8,Abilities!$D:$D,2)</f>
        <v>5</v>
      </c>
      <c r="I8" s="41" t="n">
        <f aca="false">COUNTIFS(Abilities!$B:$B,$A8,Abilities!$D:$D,3)</f>
        <v>5</v>
      </c>
      <c r="J8" s="41" t="n">
        <f aca="false">COUNTIFS(Abilities!$B:$B,$A8,Abilities!$D:$D,4)</f>
        <v>4</v>
      </c>
      <c r="K8" s="41" t="n">
        <f aca="false">COUNTIFS(Abilities!$B:$B,$A8,Abilities!$D:$D,5)</f>
        <v>2</v>
      </c>
    </row>
    <row r="9" customFormat="false" ht="15" hidden="false" customHeight="false" outlineLevel="0" collapsed="false">
      <c r="A9" s="42" t="s">
        <v>928</v>
      </c>
      <c r="B9" s="42"/>
      <c r="C9" s="42"/>
      <c r="D9" s="42"/>
      <c r="E9" s="42"/>
      <c r="F9" s="42" t="n">
        <f aca="false">SUM(F2:F8)</f>
        <v>145</v>
      </c>
      <c r="G9" s="42" t="n">
        <f aca="false">SUM(G2:G8)</f>
        <v>28</v>
      </c>
      <c r="H9" s="42" t="n">
        <f aca="false">SUM(H2:H8)</f>
        <v>35</v>
      </c>
      <c r="I9" s="42" t="n">
        <f aca="false">SUM(I2:I8)</f>
        <v>35</v>
      </c>
      <c r="J9" s="42" t="n">
        <f aca="false">SUM(J2:J8)</f>
        <v>31</v>
      </c>
      <c r="K9" s="42" t="n">
        <f aca="false">SUM(K2:K8)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43" t="s">
        <v>929</v>
      </c>
      <c r="B1" s="44"/>
    </row>
    <row r="2" customFormat="false" ht="26.85" hidden="false" customHeight="false" outlineLevel="0" collapsed="false">
      <c r="A2" s="45" t="s">
        <v>930</v>
      </c>
      <c r="B2" s="41" t="s">
        <v>931</v>
      </c>
    </row>
    <row r="3" customFormat="false" ht="26.85" hidden="false" customHeight="false" outlineLevel="0" collapsed="false">
      <c r="A3" s="45" t="s">
        <v>932</v>
      </c>
      <c r="B3" s="41" t="s">
        <v>933</v>
      </c>
    </row>
    <row r="4" customFormat="false" ht="26.85" hidden="false" customHeight="false" outlineLevel="0" collapsed="false">
      <c r="A4" s="45" t="s">
        <v>934</v>
      </c>
      <c r="B4" s="41" t="s">
        <v>935</v>
      </c>
    </row>
    <row r="5" customFormat="false" ht="26.85" hidden="false" customHeight="false" outlineLevel="0" collapsed="false">
      <c r="A5" s="45" t="s">
        <v>936</v>
      </c>
      <c r="B5" s="41" t="s">
        <v>937</v>
      </c>
    </row>
    <row r="6" customFormat="false" ht="26.85" hidden="false" customHeight="false" outlineLevel="0" collapsed="false">
      <c r="A6" s="45" t="s">
        <v>938</v>
      </c>
      <c r="B6" s="41" t="s">
        <v>939</v>
      </c>
    </row>
    <row r="7" customFormat="false" ht="15" hidden="false" customHeight="false" outlineLevel="0" collapsed="false">
      <c r="A7" s="45"/>
      <c r="B7" s="41"/>
    </row>
    <row r="8" customFormat="false" ht="15" hidden="false" customHeight="false" outlineLevel="0" collapsed="false">
      <c r="A8" s="43" t="s">
        <v>940</v>
      </c>
      <c r="B8" s="44"/>
    </row>
    <row r="9" customFormat="false" ht="26.85" hidden="false" customHeight="false" outlineLevel="0" collapsed="false">
      <c r="A9" s="45" t="s">
        <v>941</v>
      </c>
      <c r="B9" s="41" t="s">
        <v>942</v>
      </c>
    </row>
    <row r="10" customFormat="false" ht="15" hidden="false" customHeight="false" outlineLevel="0" collapsed="false">
      <c r="A10" s="45" t="s">
        <v>7</v>
      </c>
      <c r="B10" s="41" t="s">
        <v>943</v>
      </c>
    </row>
    <row r="11" customFormat="false" ht="15" hidden="false" customHeight="false" outlineLevel="0" collapsed="false">
      <c r="A11" s="45" t="s">
        <v>944</v>
      </c>
      <c r="B11" s="41" t="s">
        <v>945</v>
      </c>
    </row>
    <row r="12" customFormat="false" ht="15" hidden="false" customHeight="false" outlineLevel="0" collapsed="false">
      <c r="A12" s="45" t="s">
        <v>946</v>
      </c>
      <c r="B12" s="41" t="s">
        <v>947</v>
      </c>
    </row>
    <row r="13" customFormat="false" ht="15" hidden="false" customHeight="false" outlineLevel="0" collapsed="false">
      <c r="A13" s="45"/>
      <c r="B13" s="41"/>
    </row>
    <row r="14" customFormat="false" ht="15" hidden="false" customHeight="false" outlineLevel="0" collapsed="false">
      <c r="A14" s="43" t="s">
        <v>12</v>
      </c>
      <c r="B14" s="44"/>
    </row>
    <row r="15" customFormat="false" ht="15" hidden="false" customHeight="false" outlineLevel="0" collapsed="false">
      <c r="A15" s="45" t="s">
        <v>30</v>
      </c>
      <c r="B15" s="41" t="s">
        <v>948</v>
      </c>
    </row>
    <row r="16" customFormat="false" ht="26.85" hidden="false" customHeight="false" outlineLevel="0" collapsed="false">
      <c r="A16" s="45" t="s">
        <v>43</v>
      </c>
      <c r="B16" s="41" t="s">
        <v>949</v>
      </c>
    </row>
    <row r="17" customFormat="false" ht="15" hidden="false" customHeight="false" outlineLevel="0" collapsed="false">
      <c r="A17" s="45" t="s">
        <v>58</v>
      </c>
      <c r="B17" s="41" t="s">
        <v>950</v>
      </c>
    </row>
    <row r="18" customFormat="false" ht="15" hidden="false" customHeight="false" outlineLevel="0" collapsed="false">
      <c r="A18" s="45" t="s">
        <v>50</v>
      </c>
      <c r="B18" s="41" t="s">
        <v>951</v>
      </c>
    </row>
    <row r="19" customFormat="false" ht="26.85" hidden="false" customHeight="false" outlineLevel="0" collapsed="false">
      <c r="A19" s="45" t="s">
        <v>952</v>
      </c>
      <c r="B19" s="41" t="s">
        <v>953</v>
      </c>
    </row>
    <row r="20" customFormat="false" ht="15" hidden="false" customHeight="false" outlineLevel="0" collapsed="false">
      <c r="A20" s="45"/>
      <c r="B20" s="41"/>
    </row>
    <row r="21" customFormat="false" ht="15" hidden="false" customHeight="false" outlineLevel="0" collapsed="false">
      <c r="A21" s="43" t="s">
        <v>954</v>
      </c>
      <c r="B21" s="44"/>
    </row>
    <row r="22" customFormat="false" ht="15" hidden="false" customHeight="false" outlineLevel="0" collapsed="false">
      <c r="A22" s="45" t="s">
        <v>955</v>
      </c>
      <c r="B22" s="41" t="s">
        <v>956</v>
      </c>
    </row>
    <row r="23" customFormat="false" ht="26.85" hidden="false" customHeight="false" outlineLevel="0" collapsed="false">
      <c r="A23" s="45" t="s">
        <v>957</v>
      </c>
      <c r="B23" s="41" t="s">
        <v>958</v>
      </c>
    </row>
    <row r="24" customFormat="false" ht="39.55" hidden="false" customHeight="false" outlineLevel="0" collapsed="false">
      <c r="A24" s="45" t="s">
        <v>959</v>
      </c>
      <c r="B24" s="41" t="s">
        <v>960</v>
      </c>
    </row>
    <row r="25" customFormat="false" ht="26.85" hidden="false" customHeight="false" outlineLevel="0" collapsed="false">
      <c r="A25" s="45" t="s">
        <v>961</v>
      </c>
      <c r="B25" s="41" t="s">
        <v>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2026-10-12T06:29:30Z</dcterms:created>
  <dc:creator>openpyxl</dc:creator>
  <dc:description/>
  <dc:language>en-US</dc:language>
  <cp:lastModifiedBy/>
  <dcterms:modified xsi:type="dcterms:W3CDTF">2026-10-12T06:29:30Z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