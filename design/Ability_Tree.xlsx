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loig\Documents\GitHub\Final-Wars\design\"/>
    </mc:Choice>
  </mc:AlternateContent>
  <xr:revisionPtr revIDLastSave="0" documentId="13_ncr:1_{2DAB134A-9CF7-45AF-B5E0-4890F6E20542}" xr6:coauthVersionLast="47" xr6:coauthVersionMax="47" xr10:uidLastSave="{00000000-0000-0000-0000-000000000000}"/>
  <bookViews>
    <workbookView xWindow="-28455" yWindow="4770" windowWidth="21600" windowHeight="11295" tabRatio="500" xr2:uid="{00000000-000D-0000-FFFF-FFFF00000000}"/>
  </bookViews>
  <sheets>
    <sheet name="Abilities" sheetId="1" r:id="rId1"/>
    <sheet name="Tiers" sheetId="2" r:id="rId2"/>
    <sheet name="Trees" sheetId="3" r:id="rId3"/>
    <sheet name="Rules &amp; Legend" sheetId="4" r:id="rId4"/>
    <sheet name="Timing Rules" sheetId="6" r:id="rId5"/>
  </sheets>
  <definedNames>
    <definedName name="_xlnm._FilterDatabase" localSheetId="0" hidden="1">Abilities!$A$1:$T$146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" i="3" l="1"/>
  <c r="J8" i="3"/>
  <c r="I8" i="3"/>
  <c r="H8" i="3"/>
  <c r="G8" i="3"/>
  <c r="F8" i="3"/>
  <c r="K7" i="3"/>
  <c r="J7" i="3"/>
  <c r="I7" i="3"/>
  <c r="H7" i="3"/>
  <c r="G7" i="3"/>
  <c r="F7" i="3"/>
  <c r="K6" i="3"/>
  <c r="J6" i="3"/>
  <c r="I6" i="3"/>
  <c r="H6" i="3"/>
  <c r="G6" i="3"/>
  <c r="F6" i="3"/>
  <c r="K5" i="3"/>
  <c r="J5" i="3"/>
  <c r="I5" i="3"/>
  <c r="H5" i="3"/>
  <c r="G5" i="3"/>
  <c r="F5" i="3"/>
  <c r="K4" i="3"/>
  <c r="J4" i="3"/>
  <c r="I4" i="3"/>
  <c r="H4" i="3"/>
  <c r="G4" i="3"/>
  <c r="F4" i="3"/>
  <c r="K3" i="3"/>
  <c r="J3" i="3"/>
  <c r="I3" i="3"/>
  <c r="H3" i="3"/>
  <c r="G3" i="3"/>
  <c r="F3" i="3"/>
  <c r="K2" i="3"/>
  <c r="K9" i="3" s="1"/>
  <c r="J2" i="3"/>
  <c r="J9" i="3" s="1"/>
  <c r="I2" i="3"/>
  <c r="I9" i="3" s="1"/>
  <c r="H2" i="3"/>
  <c r="H9" i="3" s="1"/>
  <c r="G2" i="3"/>
  <c r="G9" i="3" s="1"/>
  <c r="F2" i="3"/>
  <c r="F9" i="3" s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<sst xmlns="http://schemas.openxmlformats.org/spreadsheetml/2006/main" count="2391" uniqueCount="1171">
  <si>
    <t>ID</t>
  </si>
  <si>
    <t>Tree</t>
  </si>
  <si>
    <t>Branch</t>
  </si>
  <si>
    <t>Tier</t>
  </si>
  <si>
    <t>Mastery Required</t>
  </si>
  <si>
    <t>Ability</t>
  </si>
  <si>
    <t>Role</t>
  </si>
  <si>
    <t>Prerequisites</t>
  </si>
  <si>
    <t>Item Type</t>
  </si>
  <si>
    <t>Taught By</t>
  </si>
  <si>
    <t>Scales With</t>
  </si>
  <si>
    <t>Effect</t>
  </si>
  <si>
    <t>Targeting</t>
  </si>
  <si>
    <t>Targeting Details</t>
  </si>
  <si>
    <t>Cooldown (s)</t>
  </si>
  <si>
    <t>Mastery on Learn</t>
  </si>
  <si>
    <t>Mastery per Use</t>
  </si>
  <si>
    <t>Mastery Cap</t>
  </si>
  <si>
    <t>Mastery Contribution</t>
  </si>
  <si>
    <t>Notes</t>
  </si>
  <si>
    <t>F01</t>
  </si>
  <si>
    <t>Fire</t>
  </si>
  <si>
    <t>Flame Martial</t>
  </si>
  <si>
    <t>Fire Punch</t>
  </si>
  <si>
    <t>Damage</t>
  </si>
  <si>
    <t>—</t>
  </si>
  <si>
    <t>Scroll</t>
  </si>
  <si>
    <t>Ember Fist Scroll</t>
  </si>
  <si>
    <t>Fire Mastery, Magic Atk</t>
  </si>
  <si>
    <t>Quick flaming jab on an adjacent enemy.</t>
  </si>
  <si>
    <t>Targeted</t>
  </si>
  <si>
    <t>Adjacent enemy. Locks on; can't miss.</t>
  </si>
  <si>
    <t>+5 Fire Mastery when learned, +0.2 per use vs. enemies near your level, up to 50</t>
  </si>
  <si>
    <t>F02</t>
  </si>
  <si>
    <t>Fire Kick</t>
  </si>
  <si>
    <t>Cinder Kick Scroll</t>
  </si>
  <si>
    <t>Flaming kick on an adjacent enemy; applies a short burn.</t>
  </si>
  <si>
    <t>Adjacent enemy. Locks on; the burn always applies.</t>
  </si>
  <si>
    <t>F03</t>
  </si>
  <si>
    <t>Fire Blasts</t>
  </si>
  <si>
    <t>Fire Dart</t>
  </si>
  <si>
    <t>Spark Scroll</t>
  </si>
  <si>
    <t>Small bolt of flame, range 4.</t>
  </si>
  <si>
    <t>Skillshot</t>
  </si>
  <si>
    <t>Aim at an enemy within 4. Fast bolt at any angle; hits the first unit in its path. Very hard to dodge.</t>
  </si>
  <si>
    <t>F04</t>
  </si>
  <si>
    <t>Sun Warrior's Breath</t>
  </si>
  <si>
    <t>Self buff</t>
  </si>
  <si>
    <t>Sun Warrior's Breath Scroll</t>
  </si>
  <si>
    <t>Your next 3 fire abilities deal bonus damage, and you regain 10% of your Mana over 10s.</t>
  </si>
  <si>
    <t>Self</t>
  </si>
  <si>
    <t>No target.</t>
  </si>
  <si>
    <t>+5 Fire Mastery when learned, +0.4 per use vs. enemies near your level, up to 50</t>
  </si>
  <si>
    <t>F05</t>
  </si>
  <si>
    <t>Flame Dash</t>
  </si>
  <si>
    <t>Mobility</t>
  </si>
  <si>
    <t>Scroll of Burning Feet</t>
  </si>
  <si>
    <t>Dash up to 3 tiles on flaming feet, burning the tiles behind you. Charges: 1, +1 per 300 Fire Mastery.</t>
  </si>
  <si>
    <t>Ground</t>
  </si>
  <si>
    <t>Pick a tile up to 3 away in one of 8 directions. You dash in a straight line and stop early at walls, units or ledges you can't climb.</t>
  </si>
  <si>
    <t>+10 Fire Mastery when learned, +0.3 per use vs. enemies near your level, up to 70</t>
  </si>
  <si>
    <t>F06</t>
  </si>
  <si>
    <t>Fire Whip</t>
  </si>
  <si>
    <t>Lash of Embers Scroll</t>
  </si>
  <si>
    <t>Lash a straight line of 3 tiles.</t>
  </si>
  <si>
    <t>Aim one of 8 directions. Instant 3-tile line; hits every enemy in it.</t>
  </si>
  <si>
    <t>F07</t>
  </si>
  <si>
    <t>Fireball</t>
  </si>
  <si>
    <t>AoE damage</t>
  </si>
  <si>
    <t>Scroll of the Fireball</t>
  </si>
  <si>
    <t>Range 5; explodes on all tiles within 1 of the target.</t>
  </si>
  <si>
    <t>Pick a tile within 5. The 3x3 blast area flashes for 0.4s before impact; step out to dodge.</t>
  </si>
  <si>
    <t>F08</t>
  </si>
  <si>
    <t>Burning Ground</t>
  </si>
  <si>
    <t>Scorched Earth Scroll</t>
  </si>
  <si>
    <t>Set a 3x3 area ablaze for 6s.</t>
  </si>
  <si>
    <t>Pick a tile within 4. Zone appears instantly; enemies burn only while standing in it.</t>
  </si>
  <si>
    <t>+10 Fire Mastery when learned, +0.6 per use vs. enemies near your level, up to 70</t>
  </si>
  <si>
    <t>F09</t>
  </si>
  <si>
    <t>Blazing Combo</t>
  </si>
  <si>
    <t>Fire Punch; Fire Kick</t>
  </si>
  <si>
    <t>Blazing Fist Scroll</t>
  </si>
  <si>
    <t>Three-hit combo; the last hit knocks the target back 1 tile.</t>
  </si>
  <si>
    <t>Adjacent enemy. The final hit pushes it directly away from you (snapped to 8 directions).</t>
  </si>
  <si>
    <t>F10</t>
  </si>
  <si>
    <t>Flame Wheel</t>
  </si>
  <si>
    <t>Wheel of Flame Scroll</t>
  </si>
  <si>
    <t>Spinning kick hitting every adjacent enemy; bonus damage for each Flame Dash charge spent in the last 5s.</t>
  </si>
  <si>
    <t>Hits all 8 tiles around you.</t>
  </si>
  <si>
    <t>+15 Fire Mastery when learned, +0.8 per use vs. enemies near your level, up to 100</t>
  </si>
  <si>
    <t>F11</t>
  </si>
  <si>
    <t>Jet Propulsion</t>
  </si>
  <si>
    <t>Scroll of Rising Jets</t>
  </si>
  <si>
    <t>Fly on fire jets for 3s, ignoring height and gaps.</t>
  </si>
  <si>
    <t>No target; move freely while it lasts.</t>
  </si>
  <si>
    <t>F12</t>
  </si>
  <si>
    <t>Fire Stream</t>
  </si>
  <si>
    <t>Firestream Scroll</t>
  </si>
  <si>
    <t>Channel a 4-tile line of fire for 2s.</t>
  </si>
  <si>
    <t>Aim at any angle. The beam covers the 4 tiles along that line; you can slowly rotate it while channeling.</t>
  </si>
  <si>
    <t>F13</t>
  </si>
  <si>
    <t>Heat Wave</t>
  </si>
  <si>
    <t>Debuff</t>
  </si>
  <si>
    <t>Shimmering Heat Scroll</t>
  </si>
  <si>
    <t>3-tile cone that lowers enemy Magic Defense for 8s.</t>
  </si>
  <si>
    <t>Aim one of 8 directions. Cone covers the tiles in front of you.</t>
  </si>
  <si>
    <t>F14</t>
  </si>
  <si>
    <t>Breath of Fire</t>
  </si>
  <si>
    <t>Fire Whip; Heat Wave</t>
  </si>
  <si>
    <t>Dragon's Breath Scroll</t>
  </si>
  <si>
    <t>Exhale a 4-tile cone of fire.</t>
  </si>
  <si>
    <t>Aim one of 8 directions. 4-tile cone in front of you.</t>
  </si>
  <si>
    <t>F15</t>
  </si>
  <si>
    <t>Phoenix Kick</t>
  </si>
  <si>
    <t>Phoenix Scroll</t>
  </si>
  <si>
    <t>Leap to an enemy within 4 tiles and crash down on every tile within 1.</t>
  </si>
  <si>
    <t>Pick an enemy within 4. You land on a free tile next to it; the AoE centers on you.</t>
  </si>
  <si>
    <t>+25 Fire Mastery when learned, +1.0 per use vs. enemies near your level, up to 150</t>
  </si>
  <si>
    <t>F16</t>
  </si>
  <si>
    <t>Inferno</t>
  </si>
  <si>
    <t>Fire Stream; Breath of Fire</t>
  </si>
  <si>
    <t>Inferno Codex</t>
  </si>
  <si>
    <t>Firestorm over a 5x5 area for 4s.</t>
  </si>
  <si>
    <t>Pick a tile within 6. The 5x5 area is outlined for 0.75s before it ignites.</t>
  </si>
  <si>
    <t>+25 Fire Mastery when learned, +2.0 per use vs. enemies near your level, up to 150</t>
  </si>
  <si>
    <t>F17</t>
  </si>
  <si>
    <t>Advanced Fire</t>
  </si>
  <si>
    <t>Lightning Bolt</t>
  </si>
  <si>
    <t>Burst damage</t>
  </si>
  <si>
    <t>Fire Stream; Air Mastery 350</t>
  </si>
  <si>
    <t>Storm-Fire Scroll</t>
  </si>
  <si>
    <t>Fire Mastery, Magic Atk, Crit Rate</t>
  </si>
  <si>
    <t>1s charge, then a range-8 strike with doubled crit chance.</t>
  </si>
  <si>
    <t>Pick an enemy within 8. Lightning can't miss, but the 1s charge can be interrupted, and it fails if the target breaks line of sight.</t>
  </si>
  <si>
    <t>F18</t>
  </si>
  <si>
    <t>Combustion Blast</t>
  </si>
  <si>
    <t>Scroll of the Third Eye</t>
  </si>
  <si>
    <t>Telegraphed for 1s, range 10; huge explosion within 1 tile.</t>
  </si>
  <si>
    <t>Pick a tile within 10. The marker is visible to enemies for 1s, then explodes.</t>
  </si>
  <si>
    <t>F19</t>
  </si>
  <si>
    <t>Lightning Redirection</t>
  </si>
  <si>
    <t>Counter</t>
  </si>
  <si>
    <t>Scroll of Redirected Lightning</t>
  </si>
  <si>
    <t>For 1.5s, absorb the next enemy spell and fire it back as lightning.</t>
  </si>
  <si>
    <t>Timed counter. The next enemy spell that would hit you within 1.5s is sent back at its caster (can't miss).</t>
  </si>
  <si>
    <t>+50 Fire Mastery when learned, +4.0 per use vs. enemies near your level, up to 200</t>
  </si>
  <si>
    <t>F20</t>
  </si>
  <si>
    <t>Blue Fire</t>
  </si>
  <si>
    <t>Azure Flame Codex</t>
  </si>
  <si>
    <t>15s: fire damage +30% and burns ignore half of Magic Defense.</t>
  </si>
  <si>
    <t>+50 Fire Mastery when learned, +10.0 per use vs. enemies near your level, up to 200</t>
  </si>
  <si>
    <t>F21</t>
  </si>
  <si>
    <t>Solar Zenith</t>
  </si>
  <si>
    <t>Phoenix Kick; Inferno</t>
  </si>
  <si>
    <t>Codex of the Zenith Sun</t>
  </si>
  <si>
    <t>12s: all fire ability cooldowns are halved.</t>
  </si>
  <si>
    <t>E01</t>
  </si>
  <si>
    <t>Earth</t>
  </si>
  <si>
    <t>Stone Guard</t>
  </si>
  <si>
    <t>Rock Throw</t>
  </si>
  <si>
    <t>Pebble Scroll</t>
  </si>
  <si>
    <t>Earth Mastery, Phys Atk</t>
  </si>
  <si>
    <t>Hurl a rock, range 4.</t>
  </si>
  <si>
    <t>Aim at an enemy within 4. The rock arcs over low obstacles and lands on that tile after 0.3s; misses if the target moved.</t>
  </si>
  <si>
    <t>+5 Earth Mastery when learned, +0.2 per use vs. enemies near your level, up to 50</t>
  </si>
  <si>
    <t>E02</t>
  </si>
  <si>
    <t>Stone Skin</t>
  </si>
  <si>
    <t>Granite Skin Scroll</t>
  </si>
  <si>
    <t>Earth Mastery, Phys Def</t>
  </si>
  <si>
    <t>Gain Physical Defense for 10s.</t>
  </si>
  <si>
    <t>+5 Earth Mastery when learned, +0.4 per use vs. enemies near your level, up to 50</t>
  </si>
  <si>
    <t>E03</t>
  </si>
  <si>
    <t>Terraform</t>
  </si>
  <si>
    <t>Raise Pillar</t>
  </si>
  <si>
    <t>Terrain</t>
  </si>
  <si>
    <t>Pillar Scroll</t>
  </si>
  <si>
    <t>Earth Mastery</t>
  </si>
  <si>
    <t>Raise a tile 1 height level for 15s (2 levels at 500 Earth Mastery).</t>
  </si>
  <si>
    <t>Pick a tile within 3. Any unit on it is lifted with the tile.</t>
  </si>
  <si>
    <t>E04</t>
  </si>
  <si>
    <t>Seismic Stomp</t>
  </si>
  <si>
    <t>Taunt</t>
  </si>
  <si>
    <t>Stomp Scroll</t>
  </si>
  <si>
    <t>Taunt adjacent enemies for 4s.</t>
  </si>
  <si>
    <t>Taunts every enemy on the 8 tiles around you.</t>
  </si>
  <si>
    <t>E05</t>
  </si>
  <si>
    <t>Earth Wall</t>
  </si>
  <si>
    <t>Bulwark Scroll</t>
  </si>
  <si>
    <t>Raise a 3-tile wall (+2 height) that blocks movement and line of sight for 12s. +1 length per 300 Earth Mastery.</t>
  </si>
  <si>
    <t>Pick a tile within 4. The wall rises crosswise to the direction you're facing; skips tiles occupied by units.</t>
  </si>
  <si>
    <t>+10 Earth Mastery when learned, +0.6 per use vs. enemies near your level, up to 70</t>
  </si>
  <si>
    <t>E06</t>
  </si>
  <si>
    <t>Sinkhole</t>
  </si>
  <si>
    <t>Terrain / CC</t>
  </si>
  <si>
    <t>Sinkhole Scroll</t>
  </si>
  <si>
    <t>Lower a tile 1 level; an enemy on it is rooted for 2s.</t>
  </si>
  <si>
    <t>Pick a tile within 4. 0.3s rumble, then whoever stands on it is rooted.</t>
  </si>
  <si>
    <t>E07</t>
  </si>
  <si>
    <t>Boulder Shield</t>
  </si>
  <si>
    <t>Shield</t>
  </si>
  <si>
    <t>Boulder Scroll</t>
  </si>
  <si>
    <t>Absorb shield on yourself; size scales with Earth Mastery.</t>
  </si>
  <si>
    <t>E08</t>
  </si>
  <si>
    <t>Rumbling Taunt</t>
  </si>
  <si>
    <t>Rumble Scroll</t>
  </si>
  <si>
    <t>Taunt all enemies within 2 tiles for 5s.</t>
  </si>
  <si>
    <t>All enemies within 2 tiles.</t>
  </si>
  <si>
    <t>E09</t>
  </si>
  <si>
    <t>Earth Ramp</t>
  </si>
  <si>
    <t>Scroll of the Stone Path</t>
  </si>
  <si>
    <t>Shape a ramp so allies can climb up to 3 height levels.</t>
  </si>
  <si>
    <t>Pick a tile within 3 and a direction; the ramp builds from there.</t>
  </si>
  <si>
    <t>E10</t>
  </si>
  <si>
    <t>Fortress Stance</t>
  </si>
  <si>
    <t>Damage reduction</t>
  </si>
  <si>
    <t>Boulder Shield; Rumbling Taunt</t>
  </si>
  <si>
    <t>Fortress Scroll</t>
  </si>
  <si>
    <t>Take 40% less damage for 6s but cannot move.</t>
  </si>
  <si>
    <t>+15 Earth Mastery when learned, +1.6 per use vs. enemies near your level, up to 100</t>
  </si>
  <si>
    <t>E11</t>
  </si>
  <si>
    <t>Earthquake</t>
  </si>
  <si>
    <t>AoE / CC</t>
  </si>
  <si>
    <t>Quake Scroll</t>
  </si>
  <si>
    <t>3x3 damage and slow; shuffles tile heights by ±1.</t>
  </si>
  <si>
    <t>Pick a tile within 5. Cracks show the 3x3 area for 0.5s first.</t>
  </si>
  <si>
    <t>+15 Earth Mastery when learned, +0.8 per use vs. enemies near your level, up to 100</t>
  </si>
  <si>
    <t>E12</t>
  </si>
  <si>
    <t>Trench</t>
  </si>
  <si>
    <t>Trench Scroll</t>
  </si>
  <si>
    <t>Carve a 4-tile trench 2 levels deep.</t>
  </si>
  <si>
    <t>Pick a start tile within 3 and a direction; carves 4 tiles.</t>
  </si>
  <si>
    <t>E13</t>
  </si>
  <si>
    <t>Seismic Sense</t>
  </si>
  <si>
    <t>Utility</t>
  </si>
  <si>
    <t>Scroll of Seismic Sight</t>
  </si>
  <si>
    <t>Reveal hidden enemies and traps within 6 tiles for 10s.</t>
  </si>
  <si>
    <t>Radius 6 around you.</t>
  </si>
  <si>
    <t>E14</t>
  </si>
  <si>
    <t>Earth Armor</t>
  </si>
  <si>
    <t>Stone Armor Codex</t>
  </si>
  <si>
    <t>Encase yourself in rock for 15s: large Physical Defense boost, steps 50% slower.</t>
  </si>
  <si>
    <t>E15</t>
  </si>
  <si>
    <t>Specialty Bending</t>
  </si>
  <si>
    <t>Metalbending</t>
  </si>
  <si>
    <t>Debuff / CC</t>
  </si>
  <si>
    <t>Iron Will Scroll</t>
  </si>
  <si>
    <t>Bend an enemy's armor: lower its Physical Defense and pull it 2 tiles toward you.</t>
  </si>
  <si>
    <t>Enemy within 4. Pulls it toward you along a straight tile line; stops at obstacles.</t>
  </si>
  <si>
    <t>+25 Earth Mastery when learned, +1.0 per use vs. enemies near your level, up to 150</t>
  </si>
  <si>
    <t>E16</t>
  </si>
  <si>
    <t>Sandstorm</t>
  </si>
  <si>
    <t>AoE debuff</t>
  </si>
  <si>
    <t>Earthquake; Air Mastery 350</t>
  </si>
  <si>
    <t>Desert Wind Scroll</t>
  </si>
  <si>
    <t>4x4 storm for 6s; enemies inside lose Accuracy.</t>
  </si>
  <si>
    <t>Pick a tile within 5; 4x4 area.</t>
  </si>
  <si>
    <t>+25 Earth Mastery when learned, +2.0 per use vs. enemies near your level, up to 150</t>
  </si>
  <si>
    <t>E17</t>
  </si>
  <si>
    <t>Lavabending</t>
  </si>
  <si>
    <t>Terrain / Damage</t>
  </si>
  <si>
    <t>Trench; Fire Mastery 350</t>
  </si>
  <si>
    <t>Molten Core Codex</t>
  </si>
  <si>
    <t>Earth Mastery, Magic Atk</t>
  </si>
  <si>
    <t>Turn a 3x3 area into lava for 8s; it burns and blocks movement.</t>
  </si>
  <si>
    <t>Pick a tile within 4. The 3x3 area glows for 0.5s before turning to lava.</t>
  </si>
  <si>
    <t>E18</t>
  </si>
  <si>
    <t>Mountain's Stand</t>
  </si>
  <si>
    <t>Party protection</t>
  </si>
  <si>
    <t>Mountain Codex</t>
  </si>
  <si>
    <t>8s: absorb 50% of the damage dealt to allies within 2 tiles.</t>
  </si>
  <si>
    <t>Aura covering allies within 2 tiles of you.</t>
  </si>
  <si>
    <t>E19</t>
  </si>
  <si>
    <t>Living Fortress</t>
  </si>
  <si>
    <t>Mountain's Stand; Earth Wall</t>
  </si>
  <si>
    <t>Citadel Codex</t>
  </si>
  <si>
    <t>Ring the party in stone walls for 10s; allies inside take 30% less damage.</t>
  </si>
  <si>
    <t>Walls form in a ring around you; allies inside at cast time are protected.</t>
  </si>
  <si>
    <t>+50 Earth Mastery when learned, +10.0 per use vs. enemies near your level, up to 200</t>
  </si>
  <si>
    <t>E20</t>
  </si>
  <si>
    <t>Tectonic Shift</t>
  </si>
  <si>
    <t>Terrain / AoE</t>
  </si>
  <si>
    <t>Earthquake; Trench</t>
  </si>
  <si>
    <t>Tectonic Codex</t>
  </si>
  <si>
    <t>Reshape a 7x7 area, raising and lowering tiles and knocking enemies off their footing.</t>
  </si>
  <si>
    <t>Centered on a tile within 3. 1s rumble telegraph.</t>
  </si>
  <si>
    <t>W01</t>
  </si>
  <si>
    <t>Water</t>
  </si>
  <si>
    <t>Healing</t>
  </si>
  <si>
    <t>Healing Touch</t>
  </si>
  <si>
    <t>Heal</t>
  </si>
  <si>
    <t>Mender's Scroll</t>
  </si>
  <si>
    <t>Water Mastery, Magic Atk</t>
  </si>
  <si>
    <t>Heal yourself or an ally within 2 tiles.</t>
  </si>
  <si>
    <t>Yourself or an ally within 2. Can't miss.</t>
  </si>
  <si>
    <t>+5 Water Mastery when learned, +0.2 per use vs. enemies near your level, up to 50</t>
  </si>
  <si>
    <t>W02</t>
  </si>
  <si>
    <t>Currents</t>
  </si>
  <si>
    <t>Water Whip</t>
  </si>
  <si>
    <t>River Lash Scroll</t>
  </si>
  <si>
    <t>Lash an enemy within 3 tiles.</t>
  </si>
  <si>
    <t>Enemy within 3. Locks on.</t>
  </si>
  <si>
    <t>W03</t>
  </si>
  <si>
    <t>Blessings</t>
  </si>
  <si>
    <t>Flow State</t>
  </si>
  <si>
    <t>Buff</t>
  </si>
  <si>
    <t>Scroll of the Current</t>
  </si>
  <si>
    <t>You or an ally gain Haste for 30s.</t>
  </si>
  <si>
    <t>Yourself or an ally within 3.</t>
  </si>
  <si>
    <t>+5 Water Mastery when learned, +0.4 per use vs. enemies near your level, up to 50</t>
  </si>
  <si>
    <t>W04</t>
  </si>
  <si>
    <t>Ice</t>
  </si>
  <si>
    <t>Frost Shard</t>
  </si>
  <si>
    <t>Damage / CC</t>
  </si>
  <si>
    <t>Frost Shard Scroll</t>
  </si>
  <si>
    <t>Range 4; damages and slows the target for 2s.</t>
  </si>
  <si>
    <t>Aim at an enemy within 4. Fast shard at any angle; hits the first unit in its path.</t>
  </si>
  <si>
    <t>W05</t>
  </si>
  <si>
    <t>Soothing Mist</t>
  </si>
  <si>
    <t>Heal over time</t>
  </si>
  <si>
    <t>Mist Scroll</t>
  </si>
  <si>
    <t>Heal you or an ally within 3 tiles over 12s.</t>
  </si>
  <si>
    <t>Yourself or an ally within 4.</t>
  </si>
  <si>
    <t>+10 Water Mastery when learned, +0.3 per use vs. enemies near your level, up to 70</t>
  </si>
  <si>
    <t>W06</t>
  </si>
  <si>
    <t>Water Pulse</t>
  </si>
  <si>
    <t>Wave Scroll</t>
  </si>
  <si>
    <t>A wave down a 3-tile line that damages and pushes enemies back 1 tile.</t>
  </si>
  <si>
    <t>Aim one of 8 directions. 3-tile line; pushes enemies along that direction.</t>
  </si>
  <si>
    <t>W07</t>
  </si>
  <si>
    <t>Leeching Tide</t>
  </si>
  <si>
    <t>Damage / Self heal</t>
  </si>
  <si>
    <t>Leech Tide Scroll</t>
  </si>
  <si>
    <t>Damage an enemy within 3 tiles and heal yourself for 50% of the damage dealt.</t>
  </si>
  <si>
    <t>Enemy within 3. The heal applies to you automatically.</t>
  </si>
  <si>
    <t>+10 Water Mastery when learned, +0.6 per use vs. enemies near your level, up to 70</t>
  </si>
  <si>
    <t>W08</t>
  </si>
  <si>
    <t>Tidal Blessing</t>
  </si>
  <si>
    <t>Tidal Scroll</t>
  </si>
  <si>
    <t>Water Mastery, Magic Def</t>
  </si>
  <si>
    <t>You or an ally gain Physical and Magic Defense for 45s.</t>
  </si>
  <si>
    <t>W09</t>
  </si>
  <si>
    <t>Ice Spikes</t>
  </si>
  <si>
    <t>AoE damage / CC</t>
  </si>
  <si>
    <t>Glacier Scroll</t>
  </si>
  <si>
    <t>Spikes erupt in a 3x3 area: damage and slow for 3s.</t>
  </si>
  <si>
    <t>Pick a tile within 4. Spikes erupt in the 3x3 area after 0.4s.</t>
  </si>
  <si>
    <t>W10</t>
  </si>
  <si>
    <t>Spirit Water</t>
  </si>
  <si>
    <t>Big heal</t>
  </si>
  <si>
    <t>Spirit Oasis Scroll</t>
  </si>
  <si>
    <t>Large heal on you or an ally; also removes one debuff.</t>
  </si>
  <si>
    <t>+15 Water Mastery when learned, +0.8 per use vs. enemies near your level, up to 100</t>
  </si>
  <si>
    <t>W11</t>
  </si>
  <si>
    <t>Water Jet</t>
  </si>
  <si>
    <t>Pressure Jet Scroll</t>
  </si>
  <si>
    <t>High-pressure jet that pierces every enemy in a 5-tile line.</t>
  </si>
  <si>
    <t>Aim at any angle. Instant piercing jet along a 5-tile line.</t>
  </si>
  <si>
    <t>W12</t>
  </si>
  <si>
    <t>Water Shield</t>
  </si>
  <si>
    <t>Bubble Ward Scroll</t>
  </si>
  <si>
    <t>Absorb shield on you or an ally for 20s; when it breaks it splashes damage on adjacent enemies.</t>
  </si>
  <si>
    <t>W13</t>
  </si>
  <si>
    <t>Ice Prison</t>
  </si>
  <si>
    <t>CC</t>
  </si>
  <si>
    <t>Frozen Tomb Scroll</t>
  </si>
  <si>
    <t>Freeze an enemy for 2s; frozen enemies take 25% more damage.</t>
  </si>
  <si>
    <t>Enemy within 4. 0.5s cast; fails if the target breaks line of sight.</t>
  </si>
  <si>
    <t>W14</t>
  </si>
  <si>
    <t>Revive</t>
  </si>
  <si>
    <t>Resurrection</t>
  </si>
  <si>
    <t>Scroll of Second Life</t>
  </si>
  <si>
    <t>Water Mastery</t>
  </si>
  <si>
    <t>Resurrect a fallen ally at 30% HP; usable in combat.</t>
  </si>
  <si>
    <t>Fallen ally within 3. 2s cast, interrupted by damage.</t>
  </si>
  <si>
    <t>+15 Water Mastery when learned, +4.0 per use vs. enemies near your level, up to 100</t>
  </si>
  <si>
    <t>W15</t>
  </si>
  <si>
    <t>Tidal Wave</t>
  </si>
  <si>
    <t>Tsunami Codex</t>
  </si>
  <si>
    <t>A 3-tile-wide wave rolls 5 tiles, damaging and pushing enemies.</t>
  </si>
  <si>
    <t>Aim one of 8 directions. The wave visibly rolls at walking speed; enemies can step sideways out of it.</t>
  </si>
  <si>
    <t>+25 Water Mastery when learned, +2.0 per use vs. enemies near your level, up to 150</t>
  </si>
  <si>
    <t>W16</t>
  </si>
  <si>
    <t>Rising Tide</t>
  </si>
  <si>
    <t>Party buff</t>
  </si>
  <si>
    <t>Rising Tide Scroll</t>
  </si>
  <si>
    <t>You and allies within 3 tiles gain Crit Rate and Haste for 60s.</t>
  </si>
  <si>
    <t>You and allies within 3 tiles at the moment of casting.</t>
  </si>
  <si>
    <t>W17</t>
  </si>
  <si>
    <t>Healing Rain</t>
  </si>
  <si>
    <t>AoE heal</t>
  </si>
  <si>
    <t>Monsoon Scroll</t>
  </si>
  <si>
    <t>3x3 zone that heals allies inside for 10s.</t>
  </si>
  <si>
    <t>Pick a tile within 5; 3x3 zone.</t>
  </si>
  <si>
    <t>+25 Water Mastery when learned, +1.0 per use vs. enemies near your level, up to 150</t>
  </si>
  <si>
    <t>W18</t>
  </si>
  <si>
    <t>Steam Veil</t>
  </si>
  <si>
    <t>Party defense / Damage</t>
  </si>
  <si>
    <t>Ice Prison; Fire Mastery 350</t>
  </si>
  <si>
    <t>Steam Scroll</t>
  </si>
  <si>
    <t>4x4 scalding fog for 10s: allies gain Evasion, enemies take damage over time.</t>
  </si>
  <si>
    <t>Pick a tile within 5; 4x4 zone.</t>
  </si>
  <si>
    <t>W19</t>
  </si>
  <si>
    <t>Bloodbending</t>
  </si>
  <si>
    <t>CC / Damage</t>
  </si>
  <si>
    <t>Crimson Moon Codex</t>
  </si>
  <si>
    <t>Control an enemy's movement for 3s and damage it each second.</t>
  </si>
  <si>
    <t>Enemy within 4. While it lasts, you stand still and steer its steps with your movement keys.</t>
  </si>
  <si>
    <t>W20</t>
  </si>
  <si>
    <t>Octopus Form</t>
  </si>
  <si>
    <t>Self buff / Damage</t>
  </si>
  <si>
    <t>Water Jet; Water Shield</t>
  </si>
  <si>
    <t>Eight Arms Scroll</t>
  </si>
  <si>
    <t>10s: eight water tentacles block projectiles and lash adjacent enemies automatically.</t>
  </si>
  <si>
    <t>Tentacles automatically hit adjacent enemies and block incoming projectiles.</t>
  </si>
  <si>
    <t>W21</t>
  </si>
  <si>
    <t>Full Moon</t>
  </si>
  <si>
    <t>Full Moon Codex</t>
  </si>
  <si>
    <t>30s: all water damage, healing and buffs are 30% stronger.</t>
  </si>
  <si>
    <t>+50 Water Mastery when learned, +10.0 per use vs. enemies near your level, up to 200</t>
  </si>
  <si>
    <t>W22</t>
  </si>
  <si>
    <t>Ocean Spirit</t>
  </si>
  <si>
    <t>Healing Rain; Leeching Tide</t>
  </si>
  <si>
    <t>Ocean Spirit Codex</t>
  </si>
  <si>
    <t>20s: 40% of all water damage you deal heals you or the lowest-HP ally within 3 tiles.</t>
  </si>
  <si>
    <t>Bonus healing goes to you or the lowest-HP ally within 3 automatically.</t>
  </si>
  <si>
    <t>W23</t>
  </si>
  <si>
    <t>Tidal Resurgence</t>
  </si>
  <si>
    <t>Mass resurrection</t>
  </si>
  <si>
    <t>Revive; Healing Rain</t>
  </si>
  <si>
    <t>Codex of Returning Tides</t>
  </si>
  <si>
    <t>Resurrect all fallen allies within 3 tiles at 20% HP.</t>
  </si>
  <si>
    <t>All fallen allies within 3 tiles. 3s cast.</t>
  </si>
  <si>
    <t>A01</t>
  </si>
  <si>
    <t>Air</t>
  </si>
  <si>
    <t>Winds</t>
  </si>
  <si>
    <t>Air Palm</t>
  </si>
  <si>
    <t>Open Palm Scroll</t>
  </si>
  <si>
    <t>Air Mastery, Magic Atk</t>
  </si>
  <si>
    <t>Light damage and knock an adjacent enemy back 1 tile.</t>
  </si>
  <si>
    <t>Adjacent enemy. Pushes it directly away from you (snapped to 8 directions).</t>
  </si>
  <si>
    <t>+5 Air Mastery when learned, +0.2 per use vs. enemies near your level, up to 50</t>
  </si>
  <si>
    <t>A02</t>
  </si>
  <si>
    <t>Breath</t>
  </si>
  <si>
    <t>Gust</t>
  </si>
  <si>
    <t>Interrupt / Damage</t>
  </si>
  <si>
    <t>Breeze Scroll</t>
  </si>
  <si>
    <t>Range 3; light damage and interrupts an enemy's cast.</t>
  </si>
  <si>
    <t>Enemy within 3. Instant and can't miss, so interrupts are reliable.</t>
  </si>
  <si>
    <t>+5 Air Mastery when learned, +0.4 per use vs. enemies near your level, up to 50</t>
  </si>
  <si>
    <t>A03</t>
  </si>
  <si>
    <t>Flight</t>
  </si>
  <si>
    <t>Air Step</t>
  </si>
  <si>
    <t>Featherstep Scroll</t>
  </si>
  <si>
    <t>Air Mastery</t>
  </si>
  <si>
    <t>Your next 5 steps have no cooldown.</t>
  </si>
  <si>
    <t>A04</t>
  </si>
  <si>
    <t>Wind Snare</t>
  </si>
  <si>
    <t>Snaring Wind Scroll</t>
  </si>
  <si>
    <t>Light damage and double an enemy's step cooldown for 4s.</t>
  </si>
  <si>
    <t>Aim at an enemy within 4. Fast gust at any angle; hits the first unit in its path.</t>
  </si>
  <si>
    <t>A05</t>
  </si>
  <si>
    <t>Air Blast</t>
  </si>
  <si>
    <t>Gale Scroll</t>
  </si>
  <si>
    <t>Knock an enemy back 3 tiles; bonus damage if it hits a wall or ledge.</t>
  </si>
  <si>
    <t>Enemy within 3. Knockback follows the line from you to it, snapped to 8 directions.</t>
  </si>
  <si>
    <t>+10 Air Mastery when learned, +0.6 per use vs. enemies near your level, up to 70</t>
  </si>
  <si>
    <t>A06</t>
  </si>
  <si>
    <t>Vortex</t>
  </si>
  <si>
    <t>Vortex Scroll</t>
  </si>
  <si>
    <t>Pull all enemies within 2 tiles of a point toward the center, dealing light damage.</t>
  </si>
  <si>
    <t>Pick a tile within 5; enemies within 2 of it are pulled toward it.</t>
  </si>
  <si>
    <t>A07</t>
  </si>
  <si>
    <t>Stolen Breath</t>
  </si>
  <si>
    <t>Hushing Scroll</t>
  </si>
  <si>
    <t>Light damage and silence an enemy for 2s.</t>
  </si>
  <si>
    <t>Enemy within 3.</t>
  </si>
  <si>
    <t>A08</t>
  </si>
  <si>
    <t>Glide</t>
  </si>
  <si>
    <t>Glider Scroll</t>
  </si>
  <si>
    <t>For 10s, cross gaps, drop from any height freely and climb 1 extra height level per step.</t>
  </si>
  <si>
    <t>A09</t>
  </si>
  <si>
    <t>Air Scooter</t>
  </si>
  <si>
    <t>Mobility / Damage</t>
  </si>
  <si>
    <t>Rolling Wind Scroll</t>
  </si>
  <si>
    <t>Step cooldown halved for 12s; moving into an enemy deals light damage and shoves it aside.</t>
  </si>
  <si>
    <t>No target; damage applies to any enemy you step into.</t>
  </si>
  <si>
    <t>A10</t>
  </si>
  <si>
    <t>Tornado</t>
  </si>
  <si>
    <t>Twister Scroll</t>
  </si>
  <si>
    <t>A tornado travels 5 tiles, dragging and damaging enemies.</t>
  </si>
  <si>
    <t>Aim one of 8 directions. The tornado travels slowly; enemies can step out of its path.</t>
  </si>
  <si>
    <t>+15 Air Mastery when learned, +0.8 per use vs. enemies near your level, up to 100</t>
  </si>
  <si>
    <t>A11</t>
  </si>
  <si>
    <t>Air Sphere</t>
  </si>
  <si>
    <t>Party defense</t>
  </si>
  <si>
    <t>Sphere Scroll</t>
  </si>
  <si>
    <t>Reflect projectiles aimed at an ally for 4s; reflected shots deal bonus damage.</t>
  </si>
  <si>
    <t>A12</t>
  </si>
  <si>
    <t>Suffocate</t>
  </si>
  <si>
    <t>Vacuum Scroll</t>
  </si>
  <si>
    <t>Channel: stun an enemy for up to 3s, dealing damage each second.</t>
  </si>
  <si>
    <t>Enemy within 3. Channel breaks if line of sight breaks.</t>
  </si>
  <si>
    <t>+15 Air Mastery when learned, +1.6 per use vs. enemies near your level, up to 100</t>
  </si>
  <si>
    <t>A13</t>
  </si>
  <si>
    <t>Cyclone Spin</t>
  </si>
  <si>
    <t>Air Blast; Vortex</t>
  </si>
  <si>
    <t>Cyclone Scroll</t>
  </si>
  <si>
    <t>Damage and knock all adjacent enemies back 2 tiles.</t>
  </si>
  <si>
    <t>All 8 tiles around you.</t>
  </si>
  <si>
    <t>A14</t>
  </si>
  <si>
    <t>Wind Walk</t>
  </si>
  <si>
    <t>Wind Walker Scroll</t>
  </si>
  <si>
    <t>Blink to any tile within 7, ignoring height, with a burst of wind that lightly damages adjacent enemies. 2 charges.</t>
  </si>
  <si>
    <t>Pick any tile within 7. Instant.</t>
  </si>
  <si>
    <t>A15</t>
  </si>
  <si>
    <t>Hurricane</t>
  </si>
  <si>
    <t>AoE CC / Damage</t>
  </si>
  <si>
    <t>Hurricane Codex</t>
  </si>
  <si>
    <t>5x5 storm for 6s: enemies are damaged, slowed and randomly shoved.</t>
  </si>
  <si>
    <t>Pick a tile within 6. 0.5s telegraph.</t>
  </si>
  <si>
    <t>+25 Air Mastery when learned, +2.0 per use vs. enemies near your level, up to 150</t>
  </si>
  <si>
    <t>A16</t>
  </si>
  <si>
    <t>Updraft</t>
  </si>
  <si>
    <t>Updraft Scroll</t>
  </si>
  <si>
    <t>Launch an enemy into the air for 2s (stunned, untargetable), then slam it down for damage.</t>
  </si>
  <si>
    <t>Enemy within 4. 0.3s wind-up.</t>
  </si>
  <si>
    <t>A17</t>
  </si>
  <si>
    <t>Storm Front</t>
  </si>
  <si>
    <t>AoE CC / Buff</t>
  </si>
  <si>
    <t>Tornado; Water Mastery 350</t>
  </si>
  <si>
    <t>Storm Front Scroll</t>
  </si>
  <si>
    <t>4x4 zone for 8s: enemies are damaged and slowed, allies gain Haste.</t>
  </si>
  <si>
    <t>A18</t>
  </si>
  <si>
    <t>Pressure Lock</t>
  </si>
  <si>
    <t>Pressure Scroll</t>
  </si>
  <si>
    <t>Root and lightly damage all enemies within 2 tiles for 2s.</t>
  </si>
  <si>
    <t>A19</t>
  </si>
  <si>
    <t>Sky Dancer</t>
  </si>
  <si>
    <t>Sky Dancer Codex</t>
  </si>
  <si>
    <t>10s: fly over any terrain and height, and steps have no cooldown.</t>
  </si>
  <si>
    <t>A20</t>
  </si>
  <si>
    <t>Weightless</t>
  </si>
  <si>
    <t>Party mobility</t>
  </si>
  <si>
    <t>Codex of Weightlessness</t>
  </si>
  <si>
    <t>15s: the whole party glides, ignores height and has step cooldowns halved.</t>
  </si>
  <si>
    <t>You and allies within 4 tiles at the moment of casting.</t>
  </si>
  <si>
    <t>+50 Air Mastery when learned, +10.0 per use vs. enemies near your level, up to 200</t>
  </si>
  <si>
    <t>A21</t>
  </si>
  <si>
    <t>Eye of the Storm</t>
  </si>
  <si>
    <t>Hurricane; Pressure Lock</t>
  </si>
  <si>
    <t>Eye of the Storm Codex</t>
  </si>
  <si>
    <t>7x7 cyclone: enemies are pulled to the center, damaged and stunned for 2s.</t>
  </si>
  <si>
    <t>Pick a tile within 6. 1s swirling telegraph before the pull.</t>
  </si>
  <si>
    <t>S01</t>
  </si>
  <si>
    <t>Sword</t>
  </si>
  <si>
    <t>Blade</t>
  </si>
  <si>
    <t>Slash</t>
  </si>
  <si>
    <t>Rusty Shortsword</t>
  </si>
  <si>
    <t>Sword Mastery, Phys Atk</t>
  </si>
  <si>
    <t>Basic strike on an adjacent enemy.</t>
  </si>
  <si>
    <t>Adjacent enemy.</t>
  </si>
  <si>
    <t>+5 Sword Mastery when learned, +0.2 per use vs. enemies near your level, up to 50</t>
  </si>
  <si>
    <t>S02</t>
  </si>
  <si>
    <t>Thrust</t>
  </si>
  <si>
    <t>Militia Rapier</t>
  </si>
  <si>
    <t>Strike an enemy up to 2 tiles away in a straight line.</t>
  </si>
  <si>
    <t>Pick one of 8 directions; hits whoever is on the 2 tiles in that line.</t>
  </si>
  <si>
    <t>S03</t>
  </si>
  <si>
    <t>Guard</t>
  </si>
  <si>
    <t>Parry</t>
  </si>
  <si>
    <t>Defense</t>
  </si>
  <si>
    <t>Duelist's Sabre</t>
  </si>
  <si>
    <t>Sword Mastery, Phys Def</t>
  </si>
  <si>
    <t>Block the next melee hit within 1s.</t>
  </si>
  <si>
    <t>1s block window.</t>
  </si>
  <si>
    <t>S04</t>
  </si>
  <si>
    <t>Footwork</t>
  </si>
  <si>
    <t>Lunge</t>
  </si>
  <si>
    <t>Traveler's Longsword</t>
  </si>
  <si>
    <t>Step up to 2 tiles and strike.</t>
  </si>
  <si>
    <t>Enemy within 3 with an open path. You step to a tile next to it and strike.</t>
  </si>
  <si>
    <t>S05</t>
  </si>
  <si>
    <t>Double Slash</t>
  </si>
  <si>
    <t>Twinfang Blade</t>
  </si>
  <si>
    <t>Two quick strikes.</t>
  </si>
  <si>
    <t>+10 Sword Mastery when learned, +0.3 per use vs. enemies near your level, up to 70</t>
  </si>
  <si>
    <t>S06</t>
  </si>
  <si>
    <t>Riposte</t>
  </si>
  <si>
    <t>Riposte Foil</t>
  </si>
  <si>
    <t>Parry; on success, counterattack for heavy damage.</t>
  </si>
  <si>
    <t>Counter fires automatically at whoever hit you.</t>
  </si>
  <si>
    <t>+10 Sword Mastery when learned, +0.6 per use vs. enemies near your level, up to 70</t>
  </si>
  <si>
    <t>S07</t>
  </si>
  <si>
    <t>Bleeding Cut</t>
  </si>
  <si>
    <t>Damage over time</t>
  </si>
  <si>
    <t>Serrated Cutlass</t>
  </si>
  <si>
    <t>A wound that bleeds for 8s.</t>
  </si>
  <si>
    <t>S08</t>
  </si>
  <si>
    <t>Piercing Thrust</t>
  </si>
  <si>
    <t>Needle Estoc</t>
  </si>
  <si>
    <t>Hit both enemies in a 2-tile line, ignoring some defense.</t>
  </si>
  <si>
    <t>Pick one of 8 directions; hits both tiles in the line.</t>
  </si>
  <si>
    <t>S09</t>
  </si>
  <si>
    <t>Feint</t>
  </si>
  <si>
    <t>Trickster's Blade</t>
  </si>
  <si>
    <t>Sword Mastery</t>
  </si>
  <si>
    <t>Lower an enemy's Evasion for 6s.</t>
  </si>
  <si>
    <t>S10</t>
  </si>
  <si>
    <t>Flurry</t>
  </si>
  <si>
    <t>Whirling Scimitar</t>
  </si>
  <si>
    <t>Five rapid strikes.</t>
  </si>
  <si>
    <t>Adjacent enemy. If it steps away mid-combo, remaining hits miss.</t>
  </si>
  <si>
    <t>+15 Sword Mastery when learned, +0.8 per use vs. enemies near your level, up to 100</t>
  </si>
  <si>
    <t>S11</t>
  </si>
  <si>
    <t>Disarm</t>
  </si>
  <si>
    <t>Guardian's Broadsword</t>
  </si>
  <si>
    <t>Lower an enemy's Physical Attack for 8s.</t>
  </si>
  <si>
    <t>S12</t>
  </si>
  <si>
    <t>Execute</t>
  </si>
  <si>
    <t>Headsman's Sword</t>
  </si>
  <si>
    <t>Heavy blow; triple damage on enemies below 25% HP.</t>
  </si>
  <si>
    <t>Adjacent enemy. Visible 0.4s wind-up; can be stepped away from.</t>
  </si>
  <si>
    <t>S13</t>
  </si>
  <si>
    <t>Blade Dance</t>
  </si>
  <si>
    <t>Dancer's Katana</t>
  </si>
  <si>
    <t>Dash 3 tiles, striking every enemy you pass.</t>
  </si>
  <si>
    <t>Pick a tile up to 3 away in one of 8 directions; hits every enemy you pass.</t>
  </si>
  <si>
    <t>S14</t>
  </si>
  <si>
    <t>Focus Stance</t>
  </si>
  <si>
    <t>Focus Blade</t>
  </si>
  <si>
    <t>Sword Mastery, Crit Rate</t>
  </si>
  <si>
    <t>Gain Crit Rate for 10s.</t>
  </si>
  <si>
    <t>S15</t>
  </si>
  <si>
    <t>Thousand Cuts</t>
  </si>
  <si>
    <t>Thousand-Edge Katana</t>
  </si>
  <si>
    <t>Channel 2s of nonstop strikes.</t>
  </si>
  <si>
    <t>Adjacent enemy. Channel ends if it steps away.</t>
  </si>
  <si>
    <t>+25 Sword Mastery when learned, +1.0 per use vs. enemies near your level, up to 150</t>
  </si>
  <si>
    <t>S16</t>
  </si>
  <si>
    <t>Counter Stance</t>
  </si>
  <si>
    <t>Mirror Blade</t>
  </si>
  <si>
    <t>4s: automatically counter every melee attack.</t>
  </si>
  <si>
    <t>Counters every melee attacker automatically.</t>
  </si>
  <si>
    <t>+25 Sword Mastery when learned, +2.0 per use vs. enemies near your level, up to 150</t>
  </si>
  <si>
    <t>S17</t>
  </si>
  <si>
    <t>Shadow Step</t>
  </si>
  <si>
    <t>Shadowfang</t>
  </si>
  <si>
    <t>Teleport behind an enemy within 4 tiles; your next hit is a guaranteed crit.</t>
  </si>
  <si>
    <t>Enemy within 4. You land on the tile behind it (or the nearest free tile).</t>
  </si>
  <si>
    <t>S18</t>
  </si>
  <si>
    <t>Elemental Edge</t>
  </si>
  <si>
    <t>Flurry; any element Mastery 350</t>
  </si>
  <si>
    <t>Runeblade</t>
  </si>
  <si>
    <t>10s: sword hits add damage from your highest element.</t>
  </si>
  <si>
    <t>S19</t>
  </si>
  <si>
    <t>Perfect Strike</t>
  </si>
  <si>
    <t>Execute; Focus Stance</t>
  </si>
  <si>
    <t>Masterwork Odachi</t>
  </si>
  <si>
    <t>Guaranteed critical hit with massive damage.</t>
  </si>
  <si>
    <t>Adjacent enemy. 0.6s wind-up; can be stepped away from.</t>
  </si>
  <si>
    <t>+50 Sword Mastery when learned, +4.0 per use vs. enemies near your level, up to 200</t>
  </si>
  <si>
    <t>S20</t>
  </si>
  <si>
    <t>Sword Saint</t>
  </si>
  <si>
    <t>Thousand Cuts; Shadow Step</t>
  </si>
  <si>
    <t>Saintblade</t>
  </si>
  <si>
    <t>12s: sword cooldowns recover twice as fast.</t>
  </si>
  <si>
    <t>+50 Sword Mastery when learned, +10.0 per use vs. enemies near your level, up to 200</t>
  </si>
  <si>
    <t>B01</t>
  </si>
  <si>
    <t>Bow</t>
  </si>
  <si>
    <t>Marksman</t>
  </si>
  <si>
    <t>Quick Shot</t>
  </si>
  <si>
    <t>Hunter's Shortbow</t>
  </si>
  <si>
    <t>Bow Mastery, Phys Atk</t>
  </si>
  <si>
    <t>Fast shot, range 5.</t>
  </si>
  <si>
    <t>Enemy within 5. Fast arrow that can't miss; blocked by walls.</t>
  </si>
  <si>
    <t>+5 Bow Mastery when learned, +0.2 per use vs. enemies near your level, up to 50</t>
  </si>
  <si>
    <t>B02</t>
  </si>
  <si>
    <t>Aimed Shot</t>
  </si>
  <si>
    <t>Yew Longbow</t>
  </si>
  <si>
    <t>1s draw, range 7, heavy damage.</t>
  </si>
  <si>
    <t>Aim at an enemy within 7. Direction locks on release after the 1s draw; any angle; hits the first unit in its path.</t>
  </si>
  <si>
    <t>B03</t>
  </si>
  <si>
    <t>Survival</t>
  </si>
  <si>
    <t>Disengage</t>
  </si>
  <si>
    <t>Ranger's Bow</t>
  </si>
  <si>
    <t>Bow Mastery</t>
  </si>
  <si>
    <t>Leap back 2 tiles.</t>
  </si>
  <si>
    <t>Leap 2 tiles directly away from the way you're facing.</t>
  </si>
  <si>
    <t>+5 Bow Mastery when learned, +0.4 per use vs. enemies near your level, up to 50</t>
  </si>
  <si>
    <t>B04</t>
  </si>
  <si>
    <t>Hunter's Mark</t>
  </si>
  <si>
    <t>Tracker's Bow</t>
  </si>
  <si>
    <t>The marked enemy takes extra damage from every source for 15s.</t>
  </si>
  <si>
    <t>Enemy within 6.</t>
  </si>
  <si>
    <t>B05</t>
  </si>
  <si>
    <t>Volley</t>
  </si>
  <si>
    <t>Multi-Shot</t>
  </si>
  <si>
    <t>Triple-String Bow</t>
  </si>
  <si>
    <t>Hit up to 3 enemies.</t>
  </si>
  <si>
    <t>Your target plus up to 2 more enemies within 5, nearest first.</t>
  </si>
  <si>
    <t>+10 Bow Mastery when learned, +0.3 per use vs. enemies near your level, up to 70</t>
  </si>
  <si>
    <t>B06</t>
  </si>
  <si>
    <t>Piercing Arrow</t>
  </si>
  <si>
    <t>Piercer Longbow</t>
  </si>
  <si>
    <t>Passes through every enemy in a 6-tile line.</t>
  </si>
  <si>
    <t>Aim at any angle; pierces every enemy on the 6-tile line.</t>
  </si>
  <si>
    <t>+10 Bow Mastery when learned, +0.6 per use vs. enemies near your level, up to 70</t>
  </si>
  <si>
    <t>B07</t>
  </si>
  <si>
    <t>Poison Arrow</t>
  </si>
  <si>
    <t>Viper Bow</t>
  </si>
  <si>
    <t>Poison an enemy for 10s.</t>
  </si>
  <si>
    <t>Enemy within 5.</t>
  </si>
  <si>
    <t>B08</t>
  </si>
  <si>
    <t>Pinning Shot</t>
  </si>
  <si>
    <t>Pinning Recurve</t>
  </si>
  <si>
    <t>Root an enemy for 2s.</t>
  </si>
  <si>
    <t>Aim at an enemy within 5. Any angle; the first unit hit is rooted.</t>
  </si>
  <si>
    <t>B09</t>
  </si>
  <si>
    <t>High Ground</t>
  </si>
  <si>
    <t>Eagle's Perch Bow</t>
  </si>
  <si>
    <t>10s: extra damage and range for each height level above your target.</t>
  </si>
  <si>
    <t>B10</t>
  </si>
  <si>
    <t>Volley Bow</t>
  </si>
  <si>
    <t>Arrows rain on a 3x3 area.</t>
  </si>
  <si>
    <t>Pick a tile within 7. 0.5s telegraph.</t>
  </si>
  <si>
    <t>+15 Bow Mastery when learned, +0.8 per use vs. enemies near your level, up to 100</t>
  </si>
  <si>
    <t>B11</t>
  </si>
  <si>
    <t>Snipe</t>
  </si>
  <si>
    <t>Piercing Arrow; High Ground</t>
  </si>
  <si>
    <t>Sniper's Greatbow</t>
  </si>
  <si>
    <t>2s draw, range 10.</t>
  </si>
  <si>
    <t>Enemy within 10. 2s draw; cancels if the target breaks line of sight.</t>
  </si>
  <si>
    <t>B12</t>
  </si>
  <si>
    <t>Explosive Trap</t>
  </si>
  <si>
    <t>Trap</t>
  </si>
  <si>
    <t>Trapper's Bow</t>
  </si>
  <si>
    <t>Place a hidden trap that explodes when an enemy steps on it.</t>
  </si>
  <si>
    <t>Pick an empty tile within 3. Invisible to enemies.</t>
  </si>
  <si>
    <t>B13</t>
  </si>
  <si>
    <t>Rapid Fire</t>
  </si>
  <si>
    <t>Repeater Bow</t>
  </si>
  <si>
    <t>Channel 2s of rapid shots.</t>
  </si>
  <si>
    <t>Every arrow goes to your current target; channel ends if line of sight is lost.</t>
  </si>
  <si>
    <t>B14</t>
  </si>
  <si>
    <t>Camouflage</t>
  </si>
  <si>
    <t>Stealth</t>
  </si>
  <si>
    <t>Shadow Bow</t>
  </si>
  <si>
    <t>Hidden until you attack or 8s pass.</t>
  </si>
  <si>
    <t>+15 Bow Mastery when learned, +1.6 per use vs. enemies near your level, up to 100</t>
  </si>
  <si>
    <t>B15</t>
  </si>
  <si>
    <t>Rain of Arrows</t>
  </si>
  <si>
    <t>Rainmaker</t>
  </si>
  <si>
    <t>5x5 barrage for 4s.</t>
  </si>
  <si>
    <t>Pick a tile within 8. 0.75s telegraph.</t>
  </si>
  <si>
    <t>+25 Bow Mastery when learned, +2.0 per use vs. enemies near your level, up to 150</t>
  </si>
  <si>
    <t>B16</t>
  </si>
  <si>
    <t>Wind Arrow</t>
  </si>
  <si>
    <t>Snipe; Air Mastery 350</t>
  </si>
  <si>
    <t>Windstring Bow</t>
  </si>
  <si>
    <t>Range 12; knocks the target back 3 tiles.</t>
  </si>
  <si>
    <t>Aim at any angle, range 12. Very fast; knockback follows the arrow's path.</t>
  </si>
  <si>
    <t>+25 Bow Mastery when learned, +1.0 per use vs. enemies near your level, up to 150</t>
  </si>
  <si>
    <t>B17</t>
  </si>
  <si>
    <t>Kill Shot</t>
  </si>
  <si>
    <t>Executioner's Bow</t>
  </si>
  <si>
    <t>Only usable on enemies below 20% HP; huge damage.</t>
  </si>
  <si>
    <t>Enemy within 8 below 20% HP. Can't miss.</t>
  </si>
  <si>
    <t>B18</t>
  </si>
  <si>
    <t>Ricochet</t>
  </si>
  <si>
    <t>Ricochet Bow</t>
  </si>
  <si>
    <t>An arrow that bounces between up to 4 enemies.</t>
  </si>
  <si>
    <t>Hits your target, then bounces to the nearest enemy within 3 each time.</t>
  </si>
  <si>
    <t>B19</t>
  </si>
  <si>
    <t>Deadeye</t>
  </si>
  <si>
    <t>Kill Shot; High Ground</t>
  </si>
  <si>
    <t>Deadeye Greatbow</t>
  </si>
  <si>
    <t>Bow Mastery, Crit Rate</t>
  </si>
  <si>
    <t>10s: every shot is a critical hit.</t>
  </si>
  <si>
    <t>+50 Bow Mastery when learned, +10.0 per use vs. enemies near your level, up to 200</t>
  </si>
  <si>
    <t>B20</t>
  </si>
  <si>
    <t>Arrowstorm</t>
  </si>
  <si>
    <t>Rain of Arrows; Ricochet</t>
  </si>
  <si>
    <t>Stormcaller Bow</t>
  </si>
  <si>
    <t>7x7 barrage for 5s.</t>
  </si>
  <si>
    <t>Pick a tile within 8. 1s telegraph.</t>
  </si>
  <si>
    <t>H01</t>
  </si>
  <si>
    <t>Hammer</t>
  </si>
  <si>
    <t>Smash</t>
  </si>
  <si>
    <t>Iron Mallet</t>
  </si>
  <si>
    <t>Hammer Mastery, Phys Atk</t>
  </si>
  <si>
    <t>Heavy strike on an adjacent enemy.</t>
  </si>
  <si>
    <t>Adjacent enemy. 0.3s wind-up; can be stepped away from.</t>
  </si>
  <si>
    <t>+5 Hammer Mastery when learned, +0.2 per use vs. enemies near your level, up to 50</t>
  </si>
  <si>
    <t>H02</t>
  </si>
  <si>
    <t>Quake</t>
  </si>
  <si>
    <t>Ground Slam</t>
  </si>
  <si>
    <t>Quarry Maul</t>
  </si>
  <si>
    <t>Hit all adjacent enemies.</t>
  </si>
  <si>
    <t>H03</t>
  </si>
  <si>
    <t>Juggernaut</t>
  </si>
  <si>
    <t>Brace</t>
  </si>
  <si>
    <t>Bulwark Hammer</t>
  </si>
  <si>
    <t>Hammer Mastery, Phys Def</t>
  </si>
  <si>
    <t>Take 20% less damage for 6s.</t>
  </si>
  <si>
    <t>+5 Hammer Mastery when learned, +0.4 per use vs. enemies near your level, up to 50</t>
  </si>
  <si>
    <t>H04</t>
  </si>
  <si>
    <t>Wide Swing</t>
  </si>
  <si>
    <t>Broad Maul</t>
  </si>
  <si>
    <t>Hit 3 tiles in a frontal arc.</t>
  </si>
  <si>
    <t>The 3-tile arc in the direction you're facing.</t>
  </si>
  <si>
    <t>H05</t>
  </si>
  <si>
    <t>Shockwave</t>
  </si>
  <si>
    <t>Shockwave Maul</t>
  </si>
  <si>
    <t>A shockwave travels 4 tiles in a line.</t>
  </si>
  <si>
    <t>Aim one of 8 directions. Travels 4 tiles quickly.</t>
  </si>
  <si>
    <t>+10 Hammer Mastery when learned, +0.6 per use vs. enemies near your level, up to 70</t>
  </si>
  <si>
    <t>H06</t>
  </si>
  <si>
    <t>Concussive Blow</t>
  </si>
  <si>
    <t>Skullcracker</t>
  </si>
  <si>
    <t>Stun an enemy for 1s.</t>
  </si>
  <si>
    <t>H07</t>
  </si>
  <si>
    <t>Leap Slam</t>
  </si>
  <si>
    <t>Mobility / AoE</t>
  </si>
  <si>
    <t>Wyvern Maul</t>
  </si>
  <si>
    <t>Leap up to 3 tiles and hit every enemy around the landing spot.</t>
  </si>
  <si>
    <t>Pick a tile within 3 to land on; hits everything adjacent to it.</t>
  </si>
  <si>
    <t>H08</t>
  </si>
  <si>
    <t>Sweeping Strike</t>
  </si>
  <si>
    <t>AoE CC</t>
  </si>
  <si>
    <t>Sweeper Maul</t>
  </si>
  <si>
    <t>Frontal arc that knocks enemies back 1 tile.</t>
  </si>
  <si>
    <t>Arc in the direction you're facing; pushes enemies away from you.</t>
  </si>
  <si>
    <t>H09</t>
  </si>
  <si>
    <t>Momentum</t>
  </si>
  <si>
    <t>Pendulum Hammer</t>
  </si>
  <si>
    <t>10s: each consecutive hit deals more damage (stacks 5 times).</t>
  </si>
  <si>
    <t>H10</t>
  </si>
  <si>
    <t>Crater</t>
  </si>
  <si>
    <t>Crater Maul</t>
  </si>
  <si>
    <t>Smash a 3x3 area down 1 height level.</t>
  </si>
  <si>
    <t>Pick a tile within 2; 3x3 area.</t>
  </si>
  <si>
    <t>+15 Hammer Mastery when learned, +0.8 per use vs. enemies near your level, up to 100</t>
  </si>
  <si>
    <t>H11</t>
  </si>
  <si>
    <t>Hammer Cyclone</t>
  </si>
  <si>
    <t>Cyclone Hammer</t>
  </si>
  <si>
    <t>Spin, hitting all enemies within 2 tiles.</t>
  </si>
  <si>
    <t>H12</t>
  </si>
  <si>
    <t>Armor Crush</t>
  </si>
  <si>
    <t>Armorbreaker</t>
  </si>
  <si>
    <t>Lower the Physical Defense of enemies in a frontal arc for 8s.</t>
  </si>
  <si>
    <t>Arc in the direction you're facing.</t>
  </si>
  <si>
    <t>H13</t>
  </si>
  <si>
    <t>Tremor</t>
  </si>
  <si>
    <t>Shockwave; Earth Mastery 350</t>
  </si>
  <si>
    <t>Tremor Maul</t>
  </si>
  <si>
    <t>3x3 slow and damage for 6s.</t>
  </si>
  <si>
    <t>Pick a tile within 4; 3x3 zone.</t>
  </si>
  <si>
    <t>H14</t>
  </si>
  <si>
    <t>Unstoppable</t>
  </si>
  <si>
    <t>Unyielding Hammer</t>
  </si>
  <si>
    <t>Hammer Mastery</t>
  </si>
  <si>
    <t>Immune to crowd control for 5s.</t>
  </si>
  <si>
    <t>+15 Hammer Mastery when learned, +1.6 per use vs. enemies near your level, up to 100</t>
  </si>
  <si>
    <t>H15</t>
  </si>
  <si>
    <t>Meteor Leap</t>
  </si>
  <si>
    <t>Meteor Maul</t>
  </si>
  <si>
    <t>Leap up to 5 tiles; massive damage within 2 tiles of landing.</t>
  </si>
  <si>
    <t>Pick a tile within 5. The landing spot is marked for 0.75s while you're airborne.</t>
  </si>
  <si>
    <t>+25 Hammer Mastery when learned, +2.0 per use vs. enemies near your level, up to 150</t>
  </si>
  <si>
    <t>H16</t>
  </si>
  <si>
    <t>Earthshatter</t>
  </si>
  <si>
    <t>Shatter a 4-tile cone.</t>
  </si>
  <si>
    <t>Aim one of 8 directions. 4-tile cone after a 0.5s wind-up.</t>
  </si>
  <si>
    <t>+25 Hammer Mastery when learned, +1.0 per use vs. enemies near your level, up to 150</t>
  </si>
  <si>
    <t>H17</t>
  </si>
  <si>
    <t>Thunderclap</t>
  </si>
  <si>
    <t>Hammer Cyclone; Air Mastery 350</t>
  </si>
  <si>
    <t>Thunder Hammer</t>
  </si>
  <si>
    <t>Hit all enemies within 2 tiles and slow them.</t>
  </si>
  <si>
    <t>H18</t>
  </si>
  <si>
    <t>Juggernaut Charge</t>
  </si>
  <si>
    <t>Mobility / CC</t>
  </si>
  <si>
    <t>Juggernaut Maul</t>
  </si>
  <si>
    <t>Charge 5 tiles, knocking aside every enemy in the path.</t>
  </si>
  <si>
    <t>Pick a direction (8-way) up to 5 tiles; stops at walls.</t>
  </si>
  <si>
    <t>H19</t>
  </si>
  <si>
    <t>Worldbreaker</t>
  </si>
  <si>
    <t>Meteor Leap; Earthshatter</t>
  </si>
  <si>
    <t>Huge strike over a 5x5 area.</t>
  </si>
  <si>
    <t>Pick a tile within 3. 1s wind-up.</t>
  </si>
  <si>
    <t>+50 Hammer Mastery when learned, +10.0 per use vs. enemies near your level, up to 200</t>
  </si>
  <si>
    <t>H20</t>
  </si>
  <si>
    <t>Titan's Fury</t>
  </si>
  <si>
    <t>Juggernaut Charge; Hammer Cyclone</t>
  </si>
  <si>
    <t>Titan's Maul</t>
  </si>
  <si>
    <t>12s: every hammer hit also damages enemies adjacent to the target.</t>
  </si>
  <si>
    <t>No target; extra damage hits enemies next to whatever you strike.</t>
  </si>
  <si>
    <t>Meaning</t>
  </si>
  <si>
    <t>Starter abilities, learnable right away</t>
  </si>
  <si>
    <t>First upgrades</t>
  </si>
  <si>
    <t>Core specialty abilities; hybrid abilities need 350 in a second tree</t>
  </si>
  <si>
    <t>Advanced and hybrid abilities</t>
  </si>
  <si>
    <t>Capstones</t>
  </si>
  <si>
    <t>Edit the yellow cells to retune every threshold; the Abilities sheet updates automatically.</t>
  </si>
  <si>
    <t>Mastery Stat</t>
  </si>
  <si>
    <t>Focus</t>
  </si>
  <si>
    <t>Branches</t>
  </si>
  <si>
    <t>Abilities</t>
  </si>
  <si>
    <t>Tier 1</t>
  </si>
  <si>
    <t>Tier 2</t>
  </si>
  <si>
    <t>Tier 3</t>
  </si>
  <si>
    <t>Tier 4</t>
  </si>
  <si>
    <t>Tier 5</t>
  </si>
  <si>
    <t>Fire Mastery</t>
  </si>
  <si>
    <t>Pure DPS</t>
  </si>
  <si>
    <t>Flame Martial, Fire Blasts, Advanced Fire</t>
  </si>
  <si>
    <t>Tanking + reshaping terrain</t>
  </si>
  <si>
    <t>Stone Guard, Terraform, Specialty Bending</t>
  </si>
  <si>
    <t>Healing + buffing</t>
  </si>
  <si>
    <t>Healing, Currents, Blessings, Ice</t>
  </si>
  <si>
    <t>Crowd control</t>
  </si>
  <si>
    <t>Winds, Breath, Flight</t>
  </si>
  <si>
    <t>Melee DPS</t>
  </si>
  <si>
    <t>Blade, Guard, Footwork</t>
  </si>
  <si>
    <t>Ranged DPS</t>
  </si>
  <si>
    <t>Marksman, Survival, Volley</t>
  </si>
  <si>
    <t>Melee AoE</t>
  </si>
  <si>
    <t>Smash, Quake, Juggernaut</t>
  </si>
  <si>
    <t>Total</t>
  </si>
  <si>
    <t>How the tree works</t>
  </si>
  <si>
    <t>Learning</t>
  </si>
  <si>
    <t>Every ability is taught by exactly one named item (Taught By). Scrolls teach bending, weapons teach weapon arts. A hero has a single learning slot: only the item in that slot earns AP toward its ability.</t>
  </si>
  <si>
    <t>Unlocking</t>
  </si>
  <si>
    <t>An ability can be learned once you meet its Mastery Required AND have mastered every ability listed in Prerequisites.</t>
  </si>
  <si>
    <t>Hybrids</t>
  </si>
  <si>
    <t>Prerequisites like 'Air Mastery 350' mean you also need 350 Mastery in a second tree. These are the cross-element abilities (Lightning, Lavabending, Sandstorm, Steam...).</t>
  </si>
  <si>
    <t>Scaling</t>
  </si>
  <si>
    <t>Damage, healing, shield size, duration and charges scale with the tree's Mastery stat plus the stat in Scales With.</t>
  </si>
  <si>
    <t>Specialist count</t>
  </si>
  <si>
    <t>Each tree has 20–23 abilities. A specialist who masters one tree and goes deep in a second (e.g. Fire + Sword) knows about 30.</t>
  </si>
  <si>
    <t>Editing</t>
  </si>
  <si>
    <t>Add an ability</t>
  </si>
  <si>
    <t>Add a row, give it a new ID (e.g. F22), pick Tree and Tier from the dropdowns, and copy the Mastery Required formula down from the row above.</t>
  </si>
  <si>
    <t>Write prerequisite ability names separated by semicolons, exactly as spelled in the Ability column.</t>
  </si>
  <si>
    <t>Blue numbers</t>
  </si>
  <si>
    <t>Cooldowns are starting values for playtesting — edit freely.</t>
  </si>
  <si>
    <t>Colors</t>
  </si>
  <si>
    <t>Row color = tree. Filter by Tree, Branch or Tier with the header arrows.</t>
  </si>
  <si>
    <t>Pick a unit; locks on and can't miss. Limits: range, line of sight, and any cast time the target can escape.</t>
  </si>
  <si>
    <t>Aim at an enemy or a direction; the shot locks on release and travels along a tile line (any angle, or 8-way where noted). Misses if the target moved.</t>
  </si>
  <si>
    <t>Pick a tile; the area is telegraphed before it goes off so units can step out.</t>
  </si>
  <si>
    <t>Centered on or affecting the caster; no aiming.</t>
  </si>
  <si>
    <t>Dodge rule</t>
  </si>
  <si>
    <t>A skillshot or telegraph is only dodgeable if its warning time is longer than the step cooldown plus ~0.3s reaction.</t>
  </si>
  <si>
    <t>Mastery growth</t>
  </si>
  <si>
    <t>On learn</t>
  </si>
  <si>
    <t>Mastering an ability (full AP) grants a one-time Mastery bonus in its tree (Mastery on Learn).</t>
  </si>
  <si>
    <t>Per use</t>
  </si>
  <si>
    <t>Each use against an enemy at or near your level adds Mastery per Use, until that ability has contributed its Mastery Cap in total.</t>
  </si>
  <si>
    <t>Defaults</t>
  </si>
  <si>
    <t>Tier 1: +5, +0.2, cap 50 | Tier 2: +10, +0.3, cap 70 | Tier 3: +15, +0.4, cap 100 | Tier 4: +25, +0.5, cap 150 | Tier 5: +50, +1, cap 200. Per-use gain is multiplied by cooldown so slow abilities keep pace: x2 for 10–29s, x4 for 30–89s, x10 for 90s+. All values are per row and editable.</t>
  </si>
  <si>
    <t>Pacing</t>
  </si>
  <si>
    <t>Tier 1 caps total 200, enough to reach Tier 2 (150). Tiers 1–2 reach Tier 3 (350); Tiers 1–3 reach Tier 4 (600); Tiers 1–4 reach Tier 5 (900). A hero must use a tree's abilities to climb it.</t>
  </si>
  <si>
    <t>Timing Status</t>
  </si>
  <si>
    <t>Timing Bar (s)</t>
  </si>
  <si>
    <t>Timing Zones</t>
  </si>
  <si>
    <t>Timing Notes</t>
  </si>
  <si>
    <t>Manual</t>
  </si>
  <si>
    <t>Tap 0.70–1.00; Crit 0.90–1.00</t>
  </si>
  <si>
    <t>Designer's bar: both zones at the very end.</t>
  </si>
  <si>
    <t>Generated (AI, not yet confirmed)</t>
  </si>
  <si>
    <t>Tap 0.85–1.15; Crit 1.05–1.15</t>
  </si>
  <si>
    <t>Fire: a late snap like Fire Punch, a little longer (bigger hit plus a burn).</t>
  </si>
  <si>
    <t>Tap 0.50–0.75; Crit 0.65–0.75</t>
  </si>
  <si>
    <t>Fire: quick projectile, short bar, late snap. The dart flies when you press.</t>
  </si>
  <si>
    <t>none</t>
  </si>
  <si>
    <t>No bar: an instant self-buff off the GCD.</t>
  </si>
  <si>
    <t>No bar: a dash (instants never have one).</t>
  </si>
  <si>
    <t>Tap 1.05–1.40; Crit 1.25–1.35</t>
  </si>
  <si>
    <t>Fire: a longer wind-up for a piercing line, late snap.</t>
  </si>
  <si>
    <t>Tap 1.45–1.85; Crit 1.70–1.80</t>
  </si>
  <si>
    <t>Fire: big spell, long bar, one late beat. The 0.4 s area warning still follows the press.</t>
  </si>
  <si>
    <t>Tap 1.00–1.40; Crit 1.25–1.35</t>
  </si>
  <si>
    <t>Fire: late snap; power scales the burn per second.</t>
  </si>
  <si>
    <t>Fire: late snap. Planned: three taps, one per hit, once bars take several inputs.</t>
  </si>
  <si>
    <t>Not implemented</t>
  </si>
  <si>
    <t>Tap 1.10–1.50; Crit 1.25–1.35</t>
  </si>
  <si>
    <t>Earth: one heavy beat, a wide window late in a long bar.</t>
  </si>
  <si>
    <t>No bar: terrain (timing has nothing to scale yet).</t>
  </si>
  <si>
    <t>No bar: a taunt.</t>
  </si>
  <si>
    <t>No bar: terrain wall.</t>
  </si>
  <si>
    <t>Hold 0.50–1.75</t>
  </si>
  <si>
    <t>Water: a hold. Timing power scales the heal.</t>
  </si>
  <si>
    <t>Hold 0.75–2.75</t>
  </si>
  <si>
    <t>Designer's bar: hold 2 s, ending 0.25 s before the bar.</t>
  </si>
  <si>
    <t>No bar: a buff (timing has nothing to scale yet).</t>
  </si>
  <si>
    <t>Hold 0.40–1.25</t>
  </si>
  <si>
    <t>Water: a short hold; the shard flies when you let go.</t>
  </si>
  <si>
    <t>Hold 0.50–2.25</t>
  </si>
  <si>
    <t>Water: a long hold for a long heal; power scales the total healing.</t>
  </si>
  <si>
    <t>Water: a hold building the wave.</t>
  </si>
  <si>
    <t>Hold 0.75–2.25</t>
  </si>
  <si>
    <t>Water: a hold; the drain heals you half the (scaled) damage.</t>
  </si>
  <si>
    <t>Water: a hold. The 0.4 s area warning still follows the release.</t>
  </si>
  <si>
    <t>Tap 0.20–0.45; Crit 0.30–0.40</t>
  </si>
  <si>
    <t>Air: quick, early beat.</t>
  </si>
  <si>
    <t>No bar: an interrupt must be instant to catch a wind-up.</t>
  </si>
  <si>
    <t>No bar: movement buff off the GCD.</t>
  </si>
  <si>
    <t>Tap 0.30–0.60; Crit 0.40–0.50</t>
  </si>
  <si>
    <t>Air: early beat in a slightly longer bar.</t>
  </si>
  <si>
    <t>Tap 0.35–0.65; Crit 0.45–0.55</t>
  </si>
  <si>
    <t>Designer's bar: one beat in the middle.</t>
  </si>
  <si>
    <t>No bar: a dash then a strike (dashes have no bar).</t>
  </si>
  <si>
    <t>Tap 0.30–0.55; Crit 0.40–0.50</t>
  </si>
  <si>
    <t>Bow: quick shot, middle beat.</t>
  </si>
  <si>
    <t>Hold 0.25–1.25</t>
  </si>
  <si>
    <t>Bow: drawing = holding; replaces its 1 s draw. The arrow flies when you let go.</t>
  </si>
  <si>
    <t>Tap 0.80–1.10; Crit 0.95–1.05</t>
  </si>
  <si>
    <t>Hammer: a late heavy beat; replaces its 0.3 s wind-up.</t>
  </si>
  <si>
    <t>Hammer: a late heavy beat.</t>
  </si>
  <si>
    <t>Timing bars: how they work</t>
  </si>
  <si>
    <t>What it is</t>
  </si>
  <si>
    <t>When a hero uses an ability with a timing bar, it doesn't go off at once: the bar runs for Timing Bar (s) and the player right-clicks on its zones. Good timing gives full power or a critical; bad timing still casts, weaker. Nothing is worse than a reduced hit.</t>
  </si>
  <si>
    <t>Which abilities</t>
  </si>
  <si>
    <t>Important abilities get long bars, quick ones short bars. Instants never have a bar: dashes, interrupts, potions, and for now buffs, taunts and terrain (timing has nothing to scale on them yet).</t>
  </si>
  <si>
    <t>Starting a bar</t>
  </si>
  <si>
    <t>The global cooldown starts with the bar. Mana and the ability's cooldown are paid when it goes off. The bar replaces any cast time or wind-up the ability had (Aimed Shot's draw, Smash's wind-up).</t>
  </si>
  <si>
    <t>Cancelling</t>
  </si>
  <si>
    <t>Moving, a stun, an interrupt, or a Targeted target leaving range or line of sight cancels the bar; the cooldown is not spent.</t>
  </si>
  <si>
    <t>One input per bar</t>
  </si>
  <si>
    <t>For now a bar takes one input: a tap casts the ability at once, a hold casts it when let go. The sheet already accepts several zones per bar (for future complex spells); the game then counts only the first press.</t>
  </si>
  <si>
    <t>Who plays them</t>
  </si>
  <si>
    <t>Heroes only. Enemies cast the same abilities straight away, without a bar.</t>
  </si>
  <si>
    <t>Zones</t>
  </si>
  <si>
    <t>Zone</t>
  </si>
  <si>
    <t>Colour</t>
  </si>
  <si>
    <t>Input</t>
  </si>
  <si>
    <t>Result</t>
  </si>
  <si>
    <t>Tap</t>
  </si>
  <si>
    <t>Green</t>
  </si>
  <si>
    <t>Right-click inside it</t>
  </si>
  <si>
    <t>Success: full power</t>
  </si>
  <si>
    <t>Crit</t>
  </si>
  <si>
    <t>Yellow</t>
  </si>
  <si>
    <t>Critical success: full power, every hit is a critical</t>
  </si>
  <si>
    <t>Sits inside a Tap zone.</t>
  </si>
  <si>
    <t>Hold</t>
  </si>
  <si>
    <t>Blue</t>
  </si>
  <si>
    <t>Press right-click as it starts, let go as it ends</t>
  </si>
  <si>
    <t>Judged by accuracy (Holds, below)</t>
  </si>
  <si>
    <t>Ends 0.2–0.3 s before the bar.</t>
  </si>
  <si>
    <t>Outside</t>
  </si>
  <si>
    <t>Dark</t>
  </si>
  <si>
    <t>A tap outside every zone, or no press at all</t>
  </si>
  <si>
    <t>Miss: 70% power</t>
  </si>
  <si>
    <t>Outcomes: miss, success, critical success</t>
  </si>
  <si>
    <t>Outcome</t>
  </si>
  <si>
    <t>Power</t>
  </si>
  <si>
    <t>Critical hit</t>
  </si>
  <si>
    <t>Miss</t>
  </si>
  <si>
    <t>Outside the zones, or no press</t>
  </si>
  <si>
    <t>Accuracy 50% or less</t>
  </si>
  <si>
    <t>Normal chance (Crit Rate)</t>
  </si>
  <si>
    <t>Success</t>
  </si>
  <si>
    <t>Inside a green zone</t>
  </si>
  <si>
    <t>Accuracy between 50% and 95%</t>
  </si>
  <si>
    <t>Tap: 100%. Hold: rises steadily from 70% (at 50%) to 100% (at 95%)</t>
  </si>
  <si>
    <t>Critical success</t>
  </si>
  <si>
    <t>Inside a yellow zone</t>
  </si>
  <si>
    <t>Accuracy 95% or more</t>
  </si>
  <si>
    <t>Guaranteed on every hit</t>
  </si>
  <si>
    <t>What power scales</t>
  </si>
  <si>
    <t>Damage (direct hits, damage over time, burning ground), healing, heals over time and shields. Buff sizes and durations are not scaled.</t>
  </si>
  <si>
    <t>A critical multiplies the amount by 1 + (50 + Crit Damage) / 100, i.e. x1.5 with no Crit Damage.</t>
  </si>
  <si>
    <t>Shown on screen</t>
  </si>
  <si>
    <t>Holds</t>
  </si>
  <si>
    <t>Accuracy</t>
  </si>
  <si>
    <t>Accuracy = 1 - (how early or late you pressed + how early or late you let go) / the zone's length. Letting go after the zone ends counts as late.</t>
  </si>
  <si>
    <t>Power = 70% + 30% x (accuracy - 50%) / 45%, kept between 70% and 100%.</t>
  </si>
  <si>
    <t>Starting early</t>
  </si>
  <si>
    <t>A press up to 0.2 s before the blue zone starts the hold (that early part counts against accuracy). Earlier, it is a tap outside the zones: a miss.</t>
  </si>
  <si>
    <t>The end rule</t>
  </si>
  <si>
    <t>A hold zone always ends 0.2–0.3 s before its bar ends, so letting go on time is part of the skill. The import refuses a hold that breaks this.</t>
  </si>
  <si>
    <t>Never let go</t>
  </si>
  <si>
    <t>If the button is still held when the bar ends, the hold is judged as let go at the bar's end.</t>
  </si>
  <si>
    <t>On screen</t>
  </si>
  <si>
    <t>Margins of error and network</t>
  </si>
  <si>
    <t>Zone edges</t>
  </si>
  <si>
    <t>A press exactly on a zone's edge counts as inside it.</t>
  </si>
  <si>
    <t>Your screen decides</t>
  </si>
  <si>
    <t>The game measures your press against the bar as you saw it and sends that time; the host judges it. It accepts a time at most 0.3 s ahead of its own clock.</t>
  </si>
  <si>
    <t>No press</t>
  </si>
  <si>
    <t>With no press the host waits 0.25 s after the bar ends (a press may still be on its way), then casts at miss power.</t>
  </si>
  <si>
    <t>Game speed</t>
  </si>
  <si>
    <t>Bars follow the game speed slider (Escape menu &gt; Gameplay test): at x0.5 a 1 s bar takes 2 real seconds.</t>
  </si>
  <si>
    <t>Display options (Escape menu &gt; Gameplay test)</t>
  </si>
  <si>
    <t>Where</t>
  </si>
  <si>
    <t>Under your hero (220 x 15 px) or above the action bar (440 x 30 px). The ability's name is written above the bar, so a wrong key shows at once.</t>
  </si>
  <si>
    <t>Mode 1</t>
  </si>
  <si>
    <t>Bar length follows the ability: the full length stands for 3 s, a cursor sweeps across at a steady speed, and a 1 s bar is a third of the full length, centred.</t>
  </si>
  <si>
    <t>Mode 2</t>
  </si>
  <si>
    <t>Zones slide to a fixed hit line: the bar keeps its full length (a 3 s window), a white hit line sits 0.4 s from the left, and the zones slide toward it at the same steady speed. Thin marks show where the ability's bar starts and ends.</t>
  </si>
  <si>
    <t>Writing the timing columns (Abilities tab)</t>
  </si>
  <si>
    <t>Manual (the designer's own), Generated (AI, not yet confirmed) (an AI draft to review), or Not implemented. Manual and Generated designs are both in the game.</t>
  </si>
  <si>
    <t>The bar's length in seconds, or 'none' for an ability that has no bar (an instant).</t>
  </si>
  <si>
    <t>Zones separated by ';', each 'Tap a–b', 'Crit a–b' or 'Hold a–b', in seconds from the bar's start (for example 'Tap 0.35–0.65; Crit 0.45–0.55' or 'Hold 0.75–2.75'). Dots or commas for decimals; '-' or '–' between the numbers.</t>
  </si>
  <si>
    <t>Free text: the idea behind the design.</t>
  </si>
  <si>
    <t>After editing</t>
  </si>
  <si>
    <t>Re-import the sheet (docs/ability-import.md). The import checks that every zone is inside its bar, that holds end 0.2–0.3 s before the bar, that crits sit inside a tap, and that the numbers read; it refuses the file otherwise.</t>
  </si>
  <si>
    <t>Tunable values (ask to change them)</t>
  </si>
  <si>
    <t>Value</t>
  </si>
  <si>
    <t>Now</t>
  </si>
  <si>
    <t>Where in the game</t>
  </si>
  <si>
    <t>What it does</t>
  </si>
  <si>
    <t>Miss power</t>
  </si>
  <si>
    <t>CombatRules: timing_miss_power</t>
  </si>
  <si>
    <t>Power of a miss (tap outside, poor hold, no press).</t>
  </si>
  <si>
    <t>Hold: critical from</t>
  </si>
  <si>
    <t>TimingBarDef: HOLD_PERFECT</t>
  </si>
  <si>
    <t>Hold accuracy for a critical success.</t>
  </si>
  <si>
    <t>Hold: miss at or under</t>
  </si>
  <si>
    <t>TimingBarDef: HOLD_MISS</t>
  </si>
  <si>
    <t>Hold accuracy for a miss.</t>
  </si>
  <si>
    <t>Hold: early start</t>
  </si>
  <si>
    <t>0.2 s</t>
  </si>
  <si>
    <t>TimingBarDef: HOLD_START_TOLERANCE</t>
  </si>
  <si>
    <t>How early a press may start a hold.</t>
  </si>
  <si>
    <t>Hold: end gap</t>
  </si>
  <si>
    <t>0.2–0.3 s</t>
  </si>
  <si>
    <t>TimingBarDef: HOLD_END_GAP, HOLD_END_GAP_MAX</t>
  </si>
  <si>
    <t>How long before the bar's end a hold zone ends (checked on import).</t>
  </si>
  <si>
    <t>No-press wait</t>
  </si>
  <si>
    <t>0.25 s</t>
  </si>
  <si>
    <t>CombatRules: timing_press_grace_seconds</t>
  </si>
  <si>
    <t>Wait after the bar for a press on its way.</t>
  </si>
  <si>
    <t>Clock slack</t>
  </si>
  <si>
    <t>0.3 s</t>
  </si>
  <si>
    <t>WorldSim: TIMING_CLOCK_SLACK</t>
  </si>
  <si>
    <t>How far ahead of the host a client's press may be.</t>
  </si>
  <si>
    <t>Zone edge</t>
  </si>
  <si>
    <t>0.0001 s</t>
  </si>
  <si>
    <t>TimingBarDef: EPSILON</t>
  </si>
  <si>
    <t>Rounding margin on zone edges.</t>
  </si>
  <si>
    <t>Critical bonus</t>
  </si>
  <si>
    <t>CombatRules: base_crit_damage_percent</t>
  </si>
  <si>
    <t>Base critical multiplier (plus Crit Damage).</t>
  </si>
  <si>
    <t>Full bar length</t>
  </si>
  <si>
    <t>3 s</t>
  </si>
  <si>
    <t>TimingBarView: FULL_SECONDS</t>
  </si>
  <si>
    <t>Seconds the full bar stands for (on-screen speed).</t>
  </si>
  <si>
    <t>Bar size</t>
  </si>
  <si>
    <t>440 x 30 px</t>
  </si>
  <si>
    <t>TimingBarView: BAR</t>
  </si>
  <si>
    <t>Above the action bar; half that under the hero.</t>
  </si>
  <si>
    <t>Hit line</t>
  </si>
  <si>
    <t>0.4 s</t>
  </si>
  <si>
    <t>TimingBarView: HIT_LEAD_SECONDS</t>
  </si>
  <si>
    <t>Mode 2: where the hit line sits.</t>
  </si>
  <si>
    <t>Result shown</t>
  </si>
  <si>
    <t>0.8 s</t>
  </si>
  <si>
    <t>TimingBarView: RESULT_SECONDS</t>
  </si>
  <si>
    <t>How long 'Perfect!' / 'Good' / 'Miss' stays.</t>
  </si>
  <si>
    <t/>
  </si>
  <si>
    <t>70%</t>
  </si>
  <si>
    <t>100%</t>
  </si>
  <si>
    <t>Above the bar for 0.8 s: Miss, Good or Perfect!; a hold adds its accuracy, e.g. Good 88%.</t>
  </si>
  <si>
    <t>Hold! is shown while holding and the held part turns light blue. Past the zone the label turns red (Let go!) and the extra time is drawn red; so is a press before the zone.</t>
  </si>
  <si>
    <t>0.7</t>
  </si>
  <si>
    <t>95%</t>
  </si>
  <si>
    <t>50%</t>
  </si>
  <si>
    <t>+50%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</si>
</sst>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1"/>
      <name val="Arial"/>
      <charset val="1"/>
    </font>
    <font>
      <sz val="11"/>
      <color rgb="FF0000FF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E55"/>
        <bgColor rgb="FF333399"/>
      </patternFill>
    </fill>
    <fill>
      <patternFill patternType="solid">
        <fgColor rgb="FFFDE2DA"/>
        <bgColor rgb="FFEBE3D3"/>
      </patternFill>
    </fill>
    <fill>
      <patternFill patternType="solid">
        <fgColor rgb="FFEBE3D3"/>
        <bgColor rgb="FFE8E8EE"/>
      </patternFill>
    </fill>
    <fill>
      <patternFill patternType="solid">
        <fgColor rgb="FFDCEBF7"/>
        <bgColor rgb="FFE8E8EE"/>
      </patternFill>
    </fill>
    <fill>
      <patternFill patternType="solid">
        <fgColor rgb="FFEEF3F5"/>
        <bgColor rgb="FFE8E8EE"/>
      </patternFill>
    </fill>
    <fill>
      <patternFill patternType="solid">
        <fgColor rgb="FFE8E8EE"/>
        <bgColor rgb="FFF1E6F2"/>
      </patternFill>
    </fill>
    <fill>
      <patternFill patternType="solid">
        <fgColor rgb="FFE3F0E0"/>
        <bgColor rgb="FFE8E8EE"/>
      </patternFill>
    </fill>
    <fill>
      <patternFill patternType="solid">
        <fgColor rgb="FFF1E6F2"/>
        <bgColor rgb="FFE8E8E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horizontal="center" vertical="top"/>
    </xf>
    <xf numFmtId="0" fontId="2" fillId="6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horizontal="center" vertical="top"/>
    </xf>
    <xf numFmtId="0" fontId="2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5" fillId="7" borderId="1" xfId="0" applyFont="1" applyFill="1" applyBorder="1" applyAlignment="1">
      <alignment horizontal="center" vertical="top"/>
    </xf>
    <xf numFmtId="0" fontId="2" fillId="8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horizontal="center" vertical="top"/>
    </xf>
    <xf numFmtId="0" fontId="3" fillId="8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5" fillId="8" borderId="1" xfId="0" applyFont="1" applyFill="1" applyBorder="1" applyAlignment="1">
      <alignment horizontal="center" vertical="top"/>
    </xf>
    <xf numFmtId="0" fontId="2" fillId="9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horizontal="center" vertical="top"/>
    </xf>
    <xf numFmtId="0" fontId="3" fillId="9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horizontal="center" vertical="top"/>
    </xf>
    <xf numFmtId="0" fontId="1" fillId="2" borderId="0" xfId="0" applyFont="1" applyFill="1"/>
    <xf numFmtId="0" fontId="2" fillId="0" borderId="0" xfId="0" applyFont="1"/>
    <xf numFmtId="0" fontId="5" fillId="10" borderId="0" xfId="0" applyFont="1" applyFill="1"/>
    <xf numFmtId="0" fontId="4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vertical="top"/>
    </xf>
    <xf numFmtId="0" fontId="2" fillId="2" borderId="0" xfId="0" applyFont="1" applyFill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1" fillId="2" borderId="0" xfId="0" applyNumberFormat="1" applyFont="1" applyFill="1" applyAlignment="1">
      <alignment vertical="top" wrapText="1"/>
    </xf>
    <xf numFmtId="49" fontId="1" fillId="2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1E6F2"/>
      <rgbColor rgb="FF808080"/>
      <rgbColor rgb="FF9999FF"/>
      <rgbColor rgb="FF993366"/>
      <rgbColor rgb="FFEEF3F5"/>
      <rgbColor rgb="FFDCEB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E"/>
      <rgbColor rgb="FFE3F0E0"/>
      <rgbColor rgb="FFEBE3D3"/>
      <rgbColor rgb="FF99CCFF"/>
      <rgbColor rgb="FFFF99CC"/>
      <rgbColor rgb="FFCC99FF"/>
      <rgbColor rgb="FFFDE2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6"/>
  <sheetViews>
    <sheetView tabSelected="1" zoomScaleNormal="100" workbookViewId="0">
      <pane xSplit="6" ySplit="1" topLeftCell="T2" activePane="bottomRight" state="frozen"/>
      <selection pane="topRight" activeCell="G1" sqref="G1"/>
      <selection pane="bottomLeft" activeCell="A2" sqref="A2"/>
      <selection pane="bottomRight" activeCell="U1" sqref="U1:X146"/>
    </sheetView>
  </sheetViews>
  <sheetFormatPr defaultColWidth="8.7109375" defaultRowHeight="15" x14ac:dyDescent="0.25"/>
  <cols>
    <col min="1" max="1" width="7" customWidth="1"/>
    <col min="2" max="2" width="12" customWidth="1"/>
    <col min="3" max="3" width="17" customWidth="1"/>
    <col min="4" max="4" width="6" customWidth="1"/>
    <col min="5" max="6" width="22" customWidth="1"/>
    <col min="7" max="7" width="17" customWidth="1"/>
    <col min="8" max="8" width="30" customWidth="1"/>
    <col min="9" max="9" width="10" customWidth="1"/>
    <col min="10" max="11" width="26" customWidth="1"/>
    <col min="12" max="12" width="58" customWidth="1"/>
    <col min="13" max="13" width="12" customWidth="1"/>
    <col min="14" max="14" width="50" customWidth="1"/>
    <col min="15" max="18" width="11" customWidth="1"/>
    <col min="19" max="19" width="40" customWidth="1"/>
    <col min="20" max="20" width="24" customWidth="1"/>
    <col min="21" max="21" width="30.7109375" customWidth="1"/>
    <col min="22" max="22" width="14.7109375" customWidth="1"/>
    <col min="23" max="23" width="30.7109375" customWidth="1"/>
    <col min="24" max="24" width="60.7109375" customWidth="1"/>
  </cols>
  <sheetData>
    <row r="1" spans="1:24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963</v>
      </c>
      <c r="V1" s="1" t="s">
        <v>964</v>
      </c>
      <c r="W1" s="1" t="s">
        <v>965</v>
      </c>
      <c r="X1" s="1" t="s">
        <v>966</v>
      </c>
    </row>
    <row r="2" spans="1:24" ht="28.5" x14ac:dyDescent="0.25">
      <c r="A2" s="2" t="s">
        <v>20</v>
      </c>
      <c r="B2" s="2" t="s">
        <v>21</v>
      </c>
      <c r="C2" s="2" t="s">
        <v>22</v>
      </c>
      <c r="D2" s="3">
        <v>1</v>
      </c>
      <c r="E2" s="2" t="str">
        <f>B2&amp;" Mastery "&amp;INDEX(Tiers!$B$2:$B$6,MATCH(D2,Tiers!$A$2:$A$6,0))</f>
        <v>Fire Mastery 0</v>
      </c>
      <c r="F2" s="4" t="s">
        <v>23</v>
      </c>
      <c r="G2" s="2" t="s">
        <v>24</v>
      </c>
      <c r="H2" s="2" t="s">
        <v>25</v>
      </c>
      <c r="I2" s="2" t="s">
        <v>26</v>
      </c>
      <c r="J2" s="5" t="s">
        <v>27</v>
      </c>
      <c r="K2" s="2" t="s">
        <v>28</v>
      </c>
      <c r="L2" s="2" t="s">
        <v>29</v>
      </c>
      <c r="M2" s="4" t="s">
        <v>30</v>
      </c>
      <c r="N2" s="2" t="s">
        <v>31</v>
      </c>
      <c r="O2" s="6">
        <v>2</v>
      </c>
      <c r="P2" s="6">
        <v>5</v>
      </c>
      <c r="Q2" s="6">
        <v>0.2</v>
      </c>
      <c r="R2" s="6">
        <v>50</v>
      </c>
      <c r="S2" s="2" t="s">
        <v>32</v>
      </c>
      <c r="T2" s="2"/>
      <c r="U2" s="2" t="s">
        <v>967</v>
      </c>
      <c r="V2" s="2">
        <v>1</v>
      </c>
      <c r="W2" s="2" t="s">
        <v>968</v>
      </c>
      <c r="X2" s="2" t="s">
        <v>969</v>
      </c>
    </row>
    <row r="3" spans="1:24" ht="28.5" x14ac:dyDescent="0.25">
      <c r="A3" s="2" t="s">
        <v>33</v>
      </c>
      <c r="B3" s="2" t="s">
        <v>21</v>
      </c>
      <c r="C3" s="2" t="s">
        <v>22</v>
      </c>
      <c r="D3" s="3">
        <v>1</v>
      </c>
      <c r="E3" s="2" t="str">
        <f>B3&amp;" Mastery "&amp;INDEX(Tiers!$B$2:$B$6,MATCH(D3,Tiers!$A$2:$A$6,0))</f>
        <v>Fire Mastery 0</v>
      </c>
      <c r="F3" s="4" t="s">
        <v>34</v>
      </c>
      <c r="G3" s="2" t="s">
        <v>24</v>
      </c>
      <c r="H3" s="2" t="s">
        <v>25</v>
      </c>
      <c r="I3" s="2" t="s">
        <v>26</v>
      </c>
      <c r="J3" s="5" t="s">
        <v>35</v>
      </c>
      <c r="K3" s="2" t="s">
        <v>28</v>
      </c>
      <c r="L3" s="2" t="s">
        <v>36</v>
      </c>
      <c r="M3" s="4" t="s">
        <v>30</v>
      </c>
      <c r="N3" s="2" t="s">
        <v>37</v>
      </c>
      <c r="O3" s="6">
        <v>4</v>
      </c>
      <c r="P3" s="6">
        <v>5</v>
      </c>
      <c r="Q3" s="6">
        <v>0.2</v>
      </c>
      <c r="R3" s="6">
        <v>50</v>
      </c>
      <c r="S3" s="2" t="s">
        <v>32</v>
      </c>
      <c r="T3" s="2"/>
      <c r="U3" s="2" t="s">
        <v>970</v>
      </c>
      <c r="V3" s="2">
        <v>1.2</v>
      </c>
      <c r="W3" s="2" t="s">
        <v>971</v>
      </c>
      <c r="X3" s="2" t="s">
        <v>972</v>
      </c>
    </row>
    <row r="4" spans="1:24" ht="28.5" x14ac:dyDescent="0.25">
      <c r="A4" s="2" t="s">
        <v>38</v>
      </c>
      <c r="B4" s="2" t="s">
        <v>21</v>
      </c>
      <c r="C4" s="2" t="s">
        <v>39</v>
      </c>
      <c r="D4" s="3">
        <v>1</v>
      </c>
      <c r="E4" s="2" t="str">
        <f>B4&amp;" Mastery "&amp;INDEX(Tiers!$B$2:$B$6,MATCH(D4,Tiers!$A$2:$A$6,0))</f>
        <v>Fire Mastery 0</v>
      </c>
      <c r="F4" s="4" t="s">
        <v>40</v>
      </c>
      <c r="G4" s="2" t="s">
        <v>24</v>
      </c>
      <c r="H4" s="2" t="s">
        <v>25</v>
      </c>
      <c r="I4" s="2" t="s">
        <v>26</v>
      </c>
      <c r="J4" s="5" t="s">
        <v>41</v>
      </c>
      <c r="K4" s="2" t="s">
        <v>28</v>
      </c>
      <c r="L4" s="2" t="s">
        <v>42</v>
      </c>
      <c r="M4" s="4" t="s">
        <v>43</v>
      </c>
      <c r="N4" s="2" t="s">
        <v>44</v>
      </c>
      <c r="O4" s="6">
        <v>2</v>
      </c>
      <c r="P4" s="6">
        <v>5</v>
      </c>
      <c r="Q4" s="6">
        <v>0.2</v>
      </c>
      <c r="R4" s="6">
        <v>50</v>
      </c>
      <c r="S4" s="2" t="s">
        <v>32</v>
      </c>
      <c r="T4" s="2"/>
      <c r="U4" s="2" t="s">
        <v>970</v>
      </c>
      <c r="V4" s="2">
        <v>0.8</v>
      </c>
      <c r="W4" s="2" t="s">
        <v>973</v>
      </c>
      <c r="X4" s="2" t="s">
        <v>974</v>
      </c>
    </row>
    <row r="5" spans="1:24" ht="30" x14ac:dyDescent="0.25">
      <c r="A5" s="2" t="s">
        <v>45</v>
      </c>
      <c r="B5" s="2" t="s">
        <v>21</v>
      </c>
      <c r="C5" s="2" t="s">
        <v>39</v>
      </c>
      <c r="D5" s="3">
        <v>1</v>
      </c>
      <c r="E5" s="2" t="str">
        <f>B5&amp;" Mastery "&amp;INDEX(Tiers!$B$2:$B$6,MATCH(D5,Tiers!$A$2:$A$6,0))</f>
        <v>Fire Mastery 0</v>
      </c>
      <c r="F5" s="4" t="s">
        <v>46</v>
      </c>
      <c r="G5" s="2" t="s">
        <v>47</v>
      </c>
      <c r="H5" s="2" t="s">
        <v>25</v>
      </c>
      <c r="I5" s="2" t="s">
        <v>26</v>
      </c>
      <c r="J5" s="5" t="s">
        <v>48</v>
      </c>
      <c r="K5" s="2" t="s">
        <v>28</v>
      </c>
      <c r="L5" s="2" t="s">
        <v>49</v>
      </c>
      <c r="M5" s="4" t="s">
        <v>50</v>
      </c>
      <c r="N5" s="2" t="s">
        <v>51</v>
      </c>
      <c r="O5" s="6">
        <v>20</v>
      </c>
      <c r="P5" s="6">
        <v>5</v>
      </c>
      <c r="Q5" s="6">
        <v>0.4</v>
      </c>
      <c r="R5" s="6">
        <v>50</v>
      </c>
      <c r="S5" s="2" t="s">
        <v>52</v>
      </c>
      <c r="T5" s="2"/>
      <c r="U5" s="2" t="s">
        <v>970</v>
      </c>
      <c r="V5" s="2" t="s">
        <v>975</v>
      </c>
      <c r="W5" s="2"/>
      <c r="X5" s="2" t="s">
        <v>976</v>
      </c>
    </row>
    <row r="6" spans="1:24" ht="42.75" x14ac:dyDescent="0.25">
      <c r="A6" s="2" t="s">
        <v>53</v>
      </c>
      <c r="B6" s="2" t="s">
        <v>21</v>
      </c>
      <c r="C6" s="2" t="s">
        <v>22</v>
      </c>
      <c r="D6" s="3">
        <v>2</v>
      </c>
      <c r="E6" s="2" t="str">
        <f>B6&amp;" Mastery "&amp;INDEX(Tiers!$B$2:$B$6,MATCH(D6,Tiers!$A$2:$A$6,0))</f>
        <v>Fire Mastery 150</v>
      </c>
      <c r="F6" s="4" t="s">
        <v>54</v>
      </c>
      <c r="G6" s="2" t="s">
        <v>55</v>
      </c>
      <c r="H6" s="2" t="s">
        <v>34</v>
      </c>
      <c r="I6" s="2" t="s">
        <v>26</v>
      </c>
      <c r="J6" s="5" t="s">
        <v>56</v>
      </c>
      <c r="K6" s="2" t="s">
        <v>28</v>
      </c>
      <c r="L6" s="2" t="s">
        <v>57</v>
      </c>
      <c r="M6" s="4" t="s">
        <v>58</v>
      </c>
      <c r="N6" s="2" t="s">
        <v>59</v>
      </c>
      <c r="O6" s="6">
        <v>8</v>
      </c>
      <c r="P6" s="6">
        <v>10</v>
      </c>
      <c r="Q6" s="6">
        <v>0.3</v>
      </c>
      <c r="R6" s="6">
        <v>70</v>
      </c>
      <c r="S6" s="2" t="s">
        <v>60</v>
      </c>
      <c r="T6" s="2"/>
      <c r="U6" s="2" t="s">
        <v>970</v>
      </c>
      <c r="V6" s="2" t="s">
        <v>975</v>
      </c>
      <c r="W6" s="2"/>
      <c r="X6" s="2" t="s">
        <v>977</v>
      </c>
    </row>
    <row r="7" spans="1:24" ht="28.5" x14ac:dyDescent="0.25">
      <c r="A7" s="2" t="s">
        <v>61</v>
      </c>
      <c r="B7" s="2" t="s">
        <v>21</v>
      </c>
      <c r="C7" s="2" t="s">
        <v>22</v>
      </c>
      <c r="D7" s="3">
        <v>2</v>
      </c>
      <c r="E7" s="2" t="str">
        <f>B7&amp;" Mastery "&amp;INDEX(Tiers!$B$2:$B$6,MATCH(D7,Tiers!$A$2:$A$6,0))</f>
        <v>Fire Mastery 150</v>
      </c>
      <c r="F7" s="4" t="s">
        <v>62</v>
      </c>
      <c r="G7" s="2" t="s">
        <v>24</v>
      </c>
      <c r="H7" s="2" t="s">
        <v>23</v>
      </c>
      <c r="I7" s="2" t="s">
        <v>26</v>
      </c>
      <c r="J7" s="5" t="s">
        <v>63</v>
      </c>
      <c r="K7" s="2" t="s">
        <v>28</v>
      </c>
      <c r="L7" s="2" t="s">
        <v>64</v>
      </c>
      <c r="M7" s="4" t="s">
        <v>43</v>
      </c>
      <c r="N7" s="2" t="s">
        <v>65</v>
      </c>
      <c r="O7" s="6">
        <v>6</v>
      </c>
      <c r="P7" s="6">
        <v>10</v>
      </c>
      <c r="Q7" s="6">
        <v>0.3</v>
      </c>
      <c r="R7" s="6">
        <v>70</v>
      </c>
      <c r="S7" s="2" t="s">
        <v>60</v>
      </c>
      <c r="T7" s="2"/>
      <c r="U7" s="2" t="s">
        <v>970</v>
      </c>
      <c r="V7" s="2">
        <v>1.5</v>
      </c>
      <c r="W7" s="2" t="s">
        <v>978</v>
      </c>
      <c r="X7" s="2" t="s">
        <v>979</v>
      </c>
    </row>
    <row r="8" spans="1:24" ht="28.5" x14ac:dyDescent="0.25">
      <c r="A8" s="2" t="s">
        <v>66</v>
      </c>
      <c r="B8" s="2" t="s">
        <v>21</v>
      </c>
      <c r="C8" s="2" t="s">
        <v>39</v>
      </c>
      <c r="D8" s="3">
        <v>2</v>
      </c>
      <c r="E8" s="2" t="str">
        <f>B8&amp;" Mastery "&amp;INDEX(Tiers!$B$2:$B$6,MATCH(D8,Tiers!$A$2:$A$6,0))</f>
        <v>Fire Mastery 150</v>
      </c>
      <c r="F8" s="4" t="s">
        <v>67</v>
      </c>
      <c r="G8" s="2" t="s">
        <v>68</v>
      </c>
      <c r="H8" s="2" t="s">
        <v>40</v>
      </c>
      <c r="I8" s="2" t="s">
        <v>26</v>
      </c>
      <c r="J8" s="5" t="s">
        <v>69</v>
      </c>
      <c r="K8" s="2" t="s">
        <v>28</v>
      </c>
      <c r="L8" s="2" t="s">
        <v>70</v>
      </c>
      <c r="M8" s="4" t="s">
        <v>58</v>
      </c>
      <c r="N8" s="2" t="s">
        <v>71</v>
      </c>
      <c r="O8" s="6">
        <v>8</v>
      </c>
      <c r="P8" s="6">
        <v>10</v>
      </c>
      <c r="Q8" s="6">
        <v>0.3</v>
      </c>
      <c r="R8" s="6">
        <v>70</v>
      </c>
      <c r="S8" s="2" t="s">
        <v>60</v>
      </c>
      <c r="T8" s="2"/>
      <c r="U8" s="2" t="s">
        <v>970</v>
      </c>
      <c r="V8" s="2">
        <v>2</v>
      </c>
      <c r="W8" s="2" t="s">
        <v>980</v>
      </c>
      <c r="X8" s="2" t="s">
        <v>981</v>
      </c>
    </row>
    <row r="9" spans="1:24" ht="28.5" x14ac:dyDescent="0.25">
      <c r="A9" s="2" t="s">
        <v>72</v>
      </c>
      <c r="B9" s="2" t="s">
        <v>21</v>
      </c>
      <c r="C9" s="2" t="s">
        <v>39</v>
      </c>
      <c r="D9" s="3">
        <v>2</v>
      </c>
      <c r="E9" s="2" t="str">
        <f>B9&amp;" Mastery "&amp;INDEX(Tiers!$B$2:$B$6,MATCH(D9,Tiers!$A$2:$A$6,0))</f>
        <v>Fire Mastery 150</v>
      </c>
      <c r="F9" s="4" t="s">
        <v>73</v>
      </c>
      <c r="G9" s="2" t="s">
        <v>68</v>
      </c>
      <c r="H9" s="2" t="s">
        <v>40</v>
      </c>
      <c r="I9" s="2" t="s">
        <v>26</v>
      </c>
      <c r="J9" s="5" t="s">
        <v>74</v>
      </c>
      <c r="K9" s="2" t="s">
        <v>28</v>
      </c>
      <c r="L9" s="2" t="s">
        <v>75</v>
      </c>
      <c r="M9" s="4" t="s">
        <v>58</v>
      </c>
      <c r="N9" s="2" t="s">
        <v>76</v>
      </c>
      <c r="O9" s="6">
        <v>14</v>
      </c>
      <c r="P9" s="6">
        <v>10</v>
      </c>
      <c r="Q9" s="6">
        <v>0.6</v>
      </c>
      <c r="R9" s="6">
        <v>70</v>
      </c>
      <c r="S9" s="2" t="s">
        <v>77</v>
      </c>
      <c r="T9" s="2"/>
      <c r="U9" s="2" t="s">
        <v>970</v>
      </c>
      <c r="V9" s="2">
        <v>1.5</v>
      </c>
      <c r="W9" s="2" t="s">
        <v>982</v>
      </c>
      <c r="X9" s="2" t="s">
        <v>983</v>
      </c>
    </row>
    <row r="10" spans="1:24" ht="28.5" x14ac:dyDescent="0.25">
      <c r="A10" s="2" t="s">
        <v>78</v>
      </c>
      <c r="B10" s="2" t="s">
        <v>21</v>
      </c>
      <c r="C10" s="2" t="s">
        <v>22</v>
      </c>
      <c r="D10" s="3">
        <v>2</v>
      </c>
      <c r="E10" s="2" t="str">
        <f>B10&amp;" Mastery "&amp;INDEX(Tiers!$B$2:$B$6,MATCH(D10,Tiers!$A$2:$A$6,0))</f>
        <v>Fire Mastery 150</v>
      </c>
      <c r="F10" s="4" t="s">
        <v>79</v>
      </c>
      <c r="G10" s="2" t="s">
        <v>24</v>
      </c>
      <c r="H10" s="2" t="s">
        <v>80</v>
      </c>
      <c r="I10" s="2" t="s">
        <v>26</v>
      </c>
      <c r="J10" s="5" t="s">
        <v>81</v>
      </c>
      <c r="K10" s="2" t="s">
        <v>28</v>
      </c>
      <c r="L10" s="2" t="s">
        <v>82</v>
      </c>
      <c r="M10" s="4" t="s">
        <v>30</v>
      </c>
      <c r="N10" s="2" t="s">
        <v>83</v>
      </c>
      <c r="O10" s="6">
        <v>10</v>
      </c>
      <c r="P10" s="6">
        <v>10</v>
      </c>
      <c r="Q10" s="6">
        <v>0.6</v>
      </c>
      <c r="R10" s="6">
        <v>70</v>
      </c>
      <c r="S10" s="2" t="s">
        <v>77</v>
      </c>
      <c r="T10" s="2"/>
      <c r="U10" s="2" t="s">
        <v>970</v>
      </c>
      <c r="V10" s="2">
        <v>1.5</v>
      </c>
      <c r="W10" s="2" t="s">
        <v>982</v>
      </c>
      <c r="X10" s="2" t="s">
        <v>984</v>
      </c>
    </row>
    <row r="11" spans="1:24" ht="42.75" x14ac:dyDescent="0.25">
      <c r="A11" s="2" t="s">
        <v>84</v>
      </c>
      <c r="B11" s="2" t="s">
        <v>21</v>
      </c>
      <c r="C11" s="2" t="s">
        <v>22</v>
      </c>
      <c r="D11" s="3">
        <v>3</v>
      </c>
      <c r="E11" s="2" t="str">
        <f>B11&amp;" Mastery "&amp;INDEX(Tiers!$B$2:$B$6,MATCH(D11,Tiers!$A$2:$A$6,0))</f>
        <v>Fire Mastery 350</v>
      </c>
      <c r="F11" s="4" t="s">
        <v>85</v>
      </c>
      <c r="G11" s="2" t="s">
        <v>68</v>
      </c>
      <c r="H11" s="2" t="s">
        <v>54</v>
      </c>
      <c r="I11" s="2" t="s">
        <v>26</v>
      </c>
      <c r="J11" s="5" t="s">
        <v>86</v>
      </c>
      <c r="K11" s="2" t="s">
        <v>28</v>
      </c>
      <c r="L11" s="2" t="s">
        <v>87</v>
      </c>
      <c r="M11" s="4" t="s">
        <v>50</v>
      </c>
      <c r="N11" s="2" t="s">
        <v>88</v>
      </c>
      <c r="O11" s="6">
        <v>10</v>
      </c>
      <c r="P11" s="6">
        <v>15</v>
      </c>
      <c r="Q11" s="6">
        <v>0.8</v>
      </c>
      <c r="R11" s="6">
        <v>100</v>
      </c>
      <c r="S11" s="2" t="s">
        <v>89</v>
      </c>
      <c r="T11" s="2"/>
      <c r="U11" s="2" t="s">
        <v>985</v>
      </c>
      <c r="V11" s="2"/>
      <c r="W11" s="2"/>
      <c r="X11" s="2"/>
    </row>
    <row r="12" spans="1:24" ht="42.75" x14ac:dyDescent="0.25">
      <c r="A12" s="2" t="s">
        <v>90</v>
      </c>
      <c r="B12" s="2" t="s">
        <v>21</v>
      </c>
      <c r="C12" s="2" t="s">
        <v>22</v>
      </c>
      <c r="D12" s="3">
        <v>3</v>
      </c>
      <c r="E12" s="2" t="str">
        <f>B12&amp;" Mastery "&amp;INDEX(Tiers!$B$2:$B$6,MATCH(D12,Tiers!$A$2:$A$6,0))</f>
        <v>Fire Mastery 350</v>
      </c>
      <c r="F12" s="4" t="s">
        <v>91</v>
      </c>
      <c r="G12" s="2" t="s">
        <v>55</v>
      </c>
      <c r="H12" s="2" t="s">
        <v>54</v>
      </c>
      <c r="I12" s="2" t="s">
        <v>26</v>
      </c>
      <c r="J12" s="5" t="s">
        <v>92</v>
      </c>
      <c r="K12" s="2" t="s">
        <v>28</v>
      </c>
      <c r="L12" s="2" t="s">
        <v>93</v>
      </c>
      <c r="M12" s="4" t="s">
        <v>50</v>
      </c>
      <c r="N12" s="2" t="s">
        <v>94</v>
      </c>
      <c r="O12" s="6">
        <v>25</v>
      </c>
      <c r="P12" s="6">
        <v>15</v>
      </c>
      <c r="Q12" s="6">
        <v>0.8</v>
      </c>
      <c r="R12" s="6">
        <v>100</v>
      </c>
      <c r="S12" s="2" t="s">
        <v>89</v>
      </c>
      <c r="T12" s="2"/>
      <c r="U12" s="2" t="s">
        <v>985</v>
      </c>
      <c r="V12" s="2"/>
      <c r="W12" s="2"/>
      <c r="X12" s="2"/>
    </row>
    <row r="13" spans="1:24" ht="42.75" x14ac:dyDescent="0.25">
      <c r="A13" s="2" t="s">
        <v>95</v>
      </c>
      <c r="B13" s="2" t="s">
        <v>21</v>
      </c>
      <c r="C13" s="2" t="s">
        <v>39</v>
      </c>
      <c r="D13" s="3">
        <v>3</v>
      </c>
      <c r="E13" s="2" t="str">
        <f>B13&amp;" Mastery "&amp;INDEX(Tiers!$B$2:$B$6,MATCH(D13,Tiers!$A$2:$A$6,0))</f>
        <v>Fire Mastery 350</v>
      </c>
      <c r="F13" s="4" t="s">
        <v>96</v>
      </c>
      <c r="G13" s="2" t="s">
        <v>24</v>
      </c>
      <c r="H13" s="2" t="s">
        <v>67</v>
      </c>
      <c r="I13" s="2" t="s">
        <v>26</v>
      </c>
      <c r="J13" s="5" t="s">
        <v>97</v>
      </c>
      <c r="K13" s="2" t="s">
        <v>28</v>
      </c>
      <c r="L13" s="2" t="s">
        <v>98</v>
      </c>
      <c r="M13" s="4" t="s">
        <v>43</v>
      </c>
      <c r="N13" s="2" t="s">
        <v>99</v>
      </c>
      <c r="O13" s="6">
        <v>12</v>
      </c>
      <c r="P13" s="6">
        <v>15</v>
      </c>
      <c r="Q13" s="6">
        <v>0.8</v>
      </c>
      <c r="R13" s="6">
        <v>100</v>
      </c>
      <c r="S13" s="2" t="s">
        <v>89</v>
      </c>
      <c r="T13" s="2"/>
      <c r="U13" s="2" t="s">
        <v>985</v>
      </c>
      <c r="V13" s="2"/>
      <c r="W13" s="2"/>
      <c r="X13" s="2"/>
    </row>
    <row r="14" spans="1:24" ht="42.75" x14ac:dyDescent="0.25">
      <c r="A14" s="2" t="s">
        <v>100</v>
      </c>
      <c r="B14" s="2" t="s">
        <v>21</v>
      </c>
      <c r="C14" s="2" t="s">
        <v>39</v>
      </c>
      <c r="D14" s="3">
        <v>3</v>
      </c>
      <c r="E14" s="2" t="str">
        <f>B14&amp;" Mastery "&amp;INDEX(Tiers!$B$2:$B$6,MATCH(D14,Tiers!$A$2:$A$6,0))</f>
        <v>Fire Mastery 350</v>
      </c>
      <c r="F14" s="4" t="s">
        <v>101</v>
      </c>
      <c r="G14" s="2" t="s">
        <v>102</v>
      </c>
      <c r="H14" s="2" t="s">
        <v>73</v>
      </c>
      <c r="I14" s="2" t="s">
        <v>26</v>
      </c>
      <c r="J14" s="5" t="s">
        <v>103</v>
      </c>
      <c r="K14" s="2" t="s">
        <v>28</v>
      </c>
      <c r="L14" s="2" t="s">
        <v>104</v>
      </c>
      <c r="M14" s="4" t="s">
        <v>43</v>
      </c>
      <c r="N14" s="2" t="s">
        <v>105</v>
      </c>
      <c r="O14" s="6">
        <v>16</v>
      </c>
      <c r="P14" s="6">
        <v>15</v>
      </c>
      <c r="Q14" s="6">
        <v>0.8</v>
      </c>
      <c r="R14" s="6">
        <v>100</v>
      </c>
      <c r="S14" s="2" t="s">
        <v>89</v>
      </c>
      <c r="T14" s="2"/>
      <c r="U14" s="2" t="s">
        <v>985</v>
      </c>
      <c r="V14" s="2"/>
      <c r="W14" s="2"/>
      <c r="X14" s="2"/>
    </row>
    <row r="15" spans="1:24" ht="42.75" x14ac:dyDescent="0.25">
      <c r="A15" s="2" t="s">
        <v>106</v>
      </c>
      <c r="B15" s="2" t="s">
        <v>21</v>
      </c>
      <c r="C15" s="2" t="s">
        <v>39</v>
      </c>
      <c r="D15" s="3">
        <v>3</v>
      </c>
      <c r="E15" s="2" t="str">
        <f>B15&amp;" Mastery "&amp;INDEX(Tiers!$B$2:$B$6,MATCH(D15,Tiers!$A$2:$A$6,0))</f>
        <v>Fire Mastery 350</v>
      </c>
      <c r="F15" s="4" t="s">
        <v>107</v>
      </c>
      <c r="G15" s="2" t="s">
        <v>68</v>
      </c>
      <c r="H15" s="2" t="s">
        <v>108</v>
      </c>
      <c r="I15" s="2" t="s">
        <v>26</v>
      </c>
      <c r="J15" s="5" t="s">
        <v>109</v>
      </c>
      <c r="K15" s="2" t="s">
        <v>28</v>
      </c>
      <c r="L15" s="2" t="s">
        <v>110</v>
      </c>
      <c r="M15" s="4" t="s">
        <v>43</v>
      </c>
      <c r="N15" s="2" t="s">
        <v>111</v>
      </c>
      <c r="O15" s="6">
        <v>14</v>
      </c>
      <c r="P15" s="6">
        <v>15</v>
      </c>
      <c r="Q15" s="6">
        <v>0.8</v>
      </c>
      <c r="R15" s="6">
        <v>100</v>
      </c>
      <c r="S15" s="2" t="s">
        <v>89</v>
      </c>
      <c r="T15" s="2"/>
      <c r="U15" s="2" t="s">
        <v>985</v>
      </c>
      <c r="V15" s="2"/>
      <c r="W15" s="2"/>
      <c r="X15" s="2"/>
    </row>
    <row r="16" spans="1:24" ht="42.75" x14ac:dyDescent="0.25">
      <c r="A16" s="2" t="s">
        <v>112</v>
      </c>
      <c r="B16" s="2" t="s">
        <v>21</v>
      </c>
      <c r="C16" s="2" t="s">
        <v>22</v>
      </c>
      <c r="D16" s="3">
        <v>4</v>
      </c>
      <c r="E16" s="2" t="str">
        <f>B16&amp;" Mastery "&amp;INDEX(Tiers!$B$2:$B$6,MATCH(D16,Tiers!$A$2:$A$6,0))</f>
        <v>Fire Mastery 600</v>
      </c>
      <c r="F16" s="4" t="s">
        <v>113</v>
      </c>
      <c r="G16" s="2" t="s">
        <v>68</v>
      </c>
      <c r="H16" s="2" t="s">
        <v>85</v>
      </c>
      <c r="I16" s="2" t="s">
        <v>26</v>
      </c>
      <c r="J16" s="5" t="s">
        <v>114</v>
      </c>
      <c r="K16" s="2" t="s">
        <v>28</v>
      </c>
      <c r="L16" s="2" t="s">
        <v>115</v>
      </c>
      <c r="M16" s="4" t="s">
        <v>30</v>
      </c>
      <c r="N16" s="2" t="s">
        <v>116</v>
      </c>
      <c r="O16" s="6">
        <v>18</v>
      </c>
      <c r="P16" s="6">
        <v>25</v>
      </c>
      <c r="Q16" s="6">
        <v>1</v>
      </c>
      <c r="R16" s="6">
        <v>150</v>
      </c>
      <c r="S16" s="2" t="s">
        <v>117</v>
      </c>
      <c r="T16" s="2"/>
      <c r="U16" s="2" t="s">
        <v>985</v>
      </c>
      <c r="V16" s="2"/>
      <c r="W16" s="2"/>
      <c r="X16" s="2"/>
    </row>
    <row r="17" spans="1:24" ht="42.75" x14ac:dyDescent="0.25">
      <c r="A17" s="2" t="s">
        <v>118</v>
      </c>
      <c r="B17" s="2" t="s">
        <v>21</v>
      </c>
      <c r="C17" s="2" t="s">
        <v>39</v>
      </c>
      <c r="D17" s="3">
        <v>4</v>
      </c>
      <c r="E17" s="2" t="str">
        <f>B17&amp;" Mastery "&amp;INDEX(Tiers!$B$2:$B$6,MATCH(D17,Tiers!$A$2:$A$6,0))</f>
        <v>Fire Mastery 600</v>
      </c>
      <c r="F17" s="4" t="s">
        <v>119</v>
      </c>
      <c r="G17" s="2" t="s">
        <v>68</v>
      </c>
      <c r="H17" s="2" t="s">
        <v>120</v>
      </c>
      <c r="I17" s="2" t="s">
        <v>26</v>
      </c>
      <c r="J17" s="5" t="s">
        <v>121</v>
      </c>
      <c r="K17" s="2" t="s">
        <v>28</v>
      </c>
      <c r="L17" s="2" t="s">
        <v>122</v>
      </c>
      <c r="M17" s="4" t="s">
        <v>58</v>
      </c>
      <c r="N17" s="2" t="s">
        <v>123</v>
      </c>
      <c r="O17" s="6">
        <v>30</v>
      </c>
      <c r="P17" s="6">
        <v>25</v>
      </c>
      <c r="Q17" s="6">
        <v>2</v>
      </c>
      <c r="R17" s="6">
        <v>150</v>
      </c>
      <c r="S17" s="2" t="s">
        <v>124</v>
      </c>
      <c r="T17" s="2"/>
      <c r="U17" s="2" t="s">
        <v>985</v>
      </c>
      <c r="V17" s="2"/>
      <c r="W17" s="2"/>
      <c r="X17" s="2"/>
    </row>
    <row r="18" spans="1:24" ht="42.75" x14ac:dyDescent="0.25">
      <c r="A18" s="2" t="s">
        <v>125</v>
      </c>
      <c r="B18" s="2" t="s">
        <v>21</v>
      </c>
      <c r="C18" s="2" t="s">
        <v>126</v>
      </c>
      <c r="D18" s="3">
        <v>4</v>
      </c>
      <c r="E18" s="2" t="str">
        <f>B18&amp;" Mastery "&amp;INDEX(Tiers!$B$2:$B$6,MATCH(D18,Tiers!$A$2:$A$6,0))</f>
        <v>Fire Mastery 600</v>
      </c>
      <c r="F18" s="4" t="s">
        <v>127</v>
      </c>
      <c r="G18" s="2" t="s">
        <v>128</v>
      </c>
      <c r="H18" s="2" t="s">
        <v>129</v>
      </c>
      <c r="I18" s="2" t="s">
        <v>26</v>
      </c>
      <c r="J18" s="5" t="s">
        <v>130</v>
      </c>
      <c r="K18" s="2" t="s">
        <v>131</v>
      </c>
      <c r="L18" s="2" t="s">
        <v>132</v>
      </c>
      <c r="M18" s="4" t="s">
        <v>30</v>
      </c>
      <c r="N18" s="2" t="s">
        <v>133</v>
      </c>
      <c r="O18" s="6">
        <v>20</v>
      </c>
      <c r="P18" s="6">
        <v>25</v>
      </c>
      <c r="Q18" s="6">
        <v>1</v>
      </c>
      <c r="R18" s="6">
        <v>150</v>
      </c>
      <c r="S18" s="2" t="s">
        <v>117</v>
      </c>
      <c r="T18" s="2"/>
      <c r="U18" s="2" t="s">
        <v>985</v>
      </c>
      <c r="V18" s="2"/>
      <c r="W18" s="2"/>
      <c r="X18" s="2"/>
    </row>
    <row r="19" spans="1:24" ht="42.75" x14ac:dyDescent="0.25">
      <c r="A19" s="2" t="s">
        <v>134</v>
      </c>
      <c r="B19" s="2" t="s">
        <v>21</v>
      </c>
      <c r="C19" s="2" t="s">
        <v>126</v>
      </c>
      <c r="D19" s="3">
        <v>4</v>
      </c>
      <c r="E19" s="2" t="str">
        <f>B19&amp;" Mastery "&amp;INDEX(Tiers!$B$2:$B$6,MATCH(D19,Tiers!$A$2:$A$6,0))</f>
        <v>Fire Mastery 600</v>
      </c>
      <c r="F19" s="4" t="s">
        <v>135</v>
      </c>
      <c r="G19" s="2" t="s">
        <v>128</v>
      </c>
      <c r="H19" s="2" t="s">
        <v>67</v>
      </c>
      <c r="I19" s="2" t="s">
        <v>26</v>
      </c>
      <c r="J19" s="5" t="s">
        <v>136</v>
      </c>
      <c r="K19" s="2" t="s">
        <v>28</v>
      </c>
      <c r="L19" s="2" t="s">
        <v>137</v>
      </c>
      <c r="M19" s="4" t="s">
        <v>58</v>
      </c>
      <c r="N19" s="2" t="s">
        <v>138</v>
      </c>
      <c r="O19" s="6">
        <v>24</v>
      </c>
      <c r="P19" s="6">
        <v>25</v>
      </c>
      <c r="Q19" s="6">
        <v>1</v>
      </c>
      <c r="R19" s="6">
        <v>150</v>
      </c>
      <c r="S19" s="2" t="s">
        <v>117</v>
      </c>
      <c r="T19" s="2"/>
      <c r="U19" s="2" t="s">
        <v>985</v>
      </c>
      <c r="V19" s="2"/>
      <c r="W19" s="2"/>
      <c r="X19" s="2"/>
    </row>
    <row r="20" spans="1:24" ht="42.75" x14ac:dyDescent="0.25">
      <c r="A20" s="2" t="s">
        <v>139</v>
      </c>
      <c r="B20" s="2" t="s">
        <v>21</v>
      </c>
      <c r="C20" s="2" t="s">
        <v>126</v>
      </c>
      <c r="D20" s="3">
        <v>5</v>
      </c>
      <c r="E20" s="2" t="str">
        <f>B20&amp;" Mastery "&amp;INDEX(Tiers!$B$2:$B$6,MATCH(D20,Tiers!$A$2:$A$6,0))</f>
        <v>Fire Mastery 900</v>
      </c>
      <c r="F20" s="4" t="s">
        <v>140</v>
      </c>
      <c r="G20" s="2" t="s">
        <v>141</v>
      </c>
      <c r="H20" s="2" t="s">
        <v>127</v>
      </c>
      <c r="I20" s="2" t="s">
        <v>26</v>
      </c>
      <c r="J20" s="5" t="s">
        <v>142</v>
      </c>
      <c r="K20" s="2" t="s">
        <v>28</v>
      </c>
      <c r="L20" s="2" t="s">
        <v>143</v>
      </c>
      <c r="M20" s="4" t="s">
        <v>50</v>
      </c>
      <c r="N20" s="2" t="s">
        <v>144</v>
      </c>
      <c r="O20" s="6">
        <v>30</v>
      </c>
      <c r="P20" s="6">
        <v>50</v>
      </c>
      <c r="Q20" s="6">
        <v>4</v>
      </c>
      <c r="R20" s="6">
        <v>200</v>
      </c>
      <c r="S20" s="2" t="s">
        <v>145</v>
      </c>
      <c r="T20" s="2"/>
      <c r="U20" s="2" t="s">
        <v>985</v>
      </c>
      <c r="V20" s="2"/>
      <c r="W20" s="2"/>
      <c r="X20" s="2"/>
    </row>
    <row r="21" spans="1:24" ht="42.75" x14ac:dyDescent="0.25">
      <c r="A21" s="2" t="s">
        <v>146</v>
      </c>
      <c r="B21" s="2" t="s">
        <v>21</v>
      </c>
      <c r="C21" s="2" t="s">
        <v>126</v>
      </c>
      <c r="D21" s="3">
        <v>5</v>
      </c>
      <c r="E21" s="2" t="str">
        <f>B21&amp;" Mastery "&amp;INDEX(Tiers!$B$2:$B$6,MATCH(D21,Tiers!$A$2:$A$6,0))</f>
        <v>Fire Mastery 900</v>
      </c>
      <c r="F21" s="4" t="s">
        <v>147</v>
      </c>
      <c r="G21" s="2" t="s">
        <v>47</v>
      </c>
      <c r="H21" s="2" t="s">
        <v>119</v>
      </c>
      <c r="I21" s="2" t="s">
        <v>26</v>
      </c>
      <c r="J21" s="5" t="s">
        <v>148</v>
      </c>
      <c r="K21" s="2" t="s">
        <v>28</v>
      </c>
      <c r="L21" s="2" t="s">
        <v>149</v>
      </c>
      <c r="M21" s="4" t="s">
        <v>50</v>
      </c>
      <c r="N21" s="2" t="s">
        <v>51</v>
      </c>
      <c r="O21" s="6">
        <v>90</v>
      </c>
      <c r="P21" s="6">
        <v>50</v>
      </c>
      <c r="Q21" s="6">
        <v>10</v>
      </c>
      <c r="R21" s="6">
        <v>200</v>
      </c>
      <c r="S21" s="2" t="s">
        <v>150</v>
      </c>
      <c r="T21" s="2"/>
      <c r="U21" s="2" t="s">
        <v>985</v>
      </c>
      <c r="V21" s="2"/>
      <c r="W21" s="2"/>
      <c r="X21" s="2"/>
    </row>
    <row r="22" spans="1:24" ht="42.75" x14ac:dyDescent="0.25">
      <c r="A22" s="2" t="s">
        <v>151</v>
      </c>
      <c r="B22" s="2" t="s">
        <v>21</v>
      </c>
      <c r="C22" s="2" t="s">
        <v>22</v>
      </c>
      <c r="D22" s="3">
        <v>5</v>
      </c>
      <c r="E22" s="2" t="str">
        <f>B22&amp;" Mastery "&amp;INDEX(Tiers!$B$2:$B$6,MATCH(D22,Tiers!$A$2:$A$6,0))</f>
        <v>Fire Mastery 900</v>
      </c>
      <c r="F22" s="4" t="s">
        <v>152</v>
      </c>
      <c r="G22" s="2" t="s">
        <v>47</v>
      </c>
      <c r="H22" s="2" t="s">
        <v>153</v>
      </c>
      <c r="I22" s="2" t="s">
        <v>26</v>
      </c>
      <c r="J22" s="5" t="s">
        <v>154</v>
      </c>
      <c r="K22" s="2" t="s">
        <v>28</v>
      </c>
      <c r="L22" s="2" t="s">
        <v>155</v>
      </c>
      <c r="M22" s="4" t="s">
        <v>50</v>
      </c>
      <c r="N22" s="2" t="s">
        <v>51</v>
      </c>
      <c r="O22" s="6">
        <v>120</v>
      </c>
      <c r="P22" s="6">
        <v>50</v>
      </c>
      <c r="Q22" s="6">
        <v>10</v>
      </c>
      <c r="R22" s="6">
        <v>200</v>
      </c>
      <c r="S22" s="2" t="s">
        <v>150</v>
      </c>
      <c r="T22" s="2"/>
      <c r="U22" s="2" t="s">
        <v>985</v>
      </c>
      <c r="V22" s="2"/>
      <c r="W22" s="2"/>
      <c r="X22" s="2"/>
    </row>
    <row r="23" spans="1:24" ht="42.75" x14ac:dyDescent="0.25">
      <c r="A23" s="7" t="s">
        <v>156</v>
      </c>
      <c r="B23" s="7" t="s">
        <v>157</v>
      </c>
      <c r="C23" s="7" t="s">
        <v>158</v>
      </c>
      <c r="D23" s="8">
        <v>1</v>
      </c>
      <c r="E23" s="7" t="str">
        <f>B23&amp;" Mastery "&amp;INDEX(Tiers!$B$2:$B$6,MATCH(D23,Tiers!$A$2:$A$6,0))</f>
        <v>Earth Mastery 0</v>
      </c>
      <c r="F23" s="9" t="s">
        <v>159</v>
      </c>
      <c r="G23" s="7" t="s">
        <v>24</v>
      </c>
      <c r="H23" s="7" t="s">
        <v>25</v>
      </c>
      <c r="I23" s="7" t="s">
        <v>26</v>
      </c>
      <c r="J23" s="10" t="s">
        <v>160</v>
      </c>
      <c r="K23" s="7" t="s">
        <v>161</v>
      </c>
      <c r="L23" s="7" t="s">
        <v>162</v>
      </c>
      <c r="M23" s="9" t="s">
        <v>43</v>
      </c>
      <c r="N23" s="7" t="s">
        <v>163</v>
      </c>
      <c r="O23" s="11">
        <v>3</v>
      </c>
      <c r="P23" s="11">
        <v>5</v>
      </c>
      <c r="Q23" s="11">
        <v>0.2</v>
      </c>
      <c r="R23" s="11">
        <v>50</v>
      </c>
      <c r="S23" s="7" t="s">
        <v>164</v>
      </c>
      <c r="T23" s="7"/>
      <c r="U23" s="7" t="s">
        <v>970</v>
      </c>
      <c r="V23" s="7">
        <v>1.6</v>
      </c>
      <c r="W23" s="7" t="s">
        <v>986</v>
      </c>
      <c r="X23" s="7" t="s">
        <v>987</v>
      </c>
    </row>
    <row r="24" spans="1:24" ht="28.5" x14ac:dyDescent="0.25">
      <c r="A24" s="7" t="s">
        <v>165</v>
      </c>
      <c r="B24" s="7" t="s">
        <v>157</v>
      </c>
      <c r="C24" s="7" t="s">
        <v>158</v>
      </c>
      <c r="D24" s="8">
        <v>1</v>
      </c>
      <c r="E24" s="7" t="str">
        <f>B24&amp;" Mastery "&amp;INDEX(Tiers!$B$2:$B$6,MATCH(D24,Tiers!$A$2:$A$6,0))</f>
        <v>Earth Mastery 0</v>
      </c>
      <c r="F24" s="9" t="s">
        <v>166</v>
      </c>
      <c r="G24" s="7" t="s">
        <v>47</v>
      </c>
      <c r="H24" s="7" t="s">
        <v>25</v>
      </c>
      <c r="I24" s="7" t="s">
        <v>26</v>
      </c>
      <c r="J24" s="10" t="s">
        <v>167</v>
      </c>
      <c r="K24" s="7" t="s">
        <v>168</v>
      </c>
      <c r="L24" s="7" t="s">
        <v>169</v>
      </c>
      <c r="M24" s="9" t="s">
        <v>50</v>
      </c>
      <c r="N24" s="7" t="s">
        <v>51</v>
      </c>
      <c r="O24" s="11">
        <v>20</v>
      </c>
      <c r="P24" s="11">
        <v>5</v>
      </c>
      <c r="Q24" s="11">
        <v>0.4</v>
      </c>
      <c r="R24" s="11">
        <v>50</v>
      </c>
      <c r="S24" s="7" t="s">
        <v>170</v>
      </c>
      <c r="T24" s="7"/>
      <c r="U24" s="7" t="s">
        <v>985</v>
      </c>
      <c r="V24" s="7"/>
      <c r="W24" s="7"/>
      <c r="X24" s="7"/>
    </row>
    <row r="25" spans="1:24" ht="28.5" x14ac:dyDescent="0.25">
      <c r="A25" s="7" t="s">
        <v>171</v>
      </c>
      <c r="B25" s="7" t="s">
        <v>157</v>
      </c>
      <c r="C25" s="7" t="s">
        <v>172</v>
      </c>
      <c r="D25" s="8">
        <v>1</v>
      </c>
      <c r="E25" s="7" t="str">
        <f>B25&amp;" Mastery "&amp;INDEX(Tiers!$B$2:$B$6,MATCH(D25,Tiers!$A$2:$A$6,0))</f>
        <v>Earth Mastery 0</v>
      </c>
      <c r="F25" s="9" t="s">
        <v>173</v>
      </c>
      <c r="G25" s="7" t="s">
        <v>174</v>
      </c>
      <c r="H25" s="7" t="s">
        <v>25</v>
      </c>
      <c r="I25" s="7" t="s">
        <v>26</v>
      </c>
      <c r="J25" s="10" t="s">
        <v>175</v>
      </c>
      <c r="K25" s="7" t="s">
        <v>176</v>
      </c>
      <c r="L25" s="7" t="s">
        <v>177</v>
      </c>
      <c r="M25" s="9" t="s">
        <v>58</v>
      </c>
      <c r="N25" s="7" t="s">
        <v>178</v>
      </c>
      <c r="O25" s="11">
        <v>6</v>
      </c>
      <c r="P25" s="11">
        <v>5</v>
      </c>
      <c r="Q25" s="11">
        <v>0.2</v>
      </c>
      <c r="R25" s="11">
        <v>50</v>
      </c>
      <c r="S25" s="7" t="s">
        <v>164</v>
      </c>
      <c r="T25" s="7"/>
      <c r="U25" s="7" t="s">
        <v>970</v>
      </c>
      <c r="V25" s="7" t="s">
        <v>975</v>
      </c>
      <c r="W25" s="7"/>
      <c r="X25" s="7" t="s">
        <v>988</v>
      </c>
    </row>
    <row r="26" spans="1:24" ht="28.5" x14ac:dyDescent="0.25">
      <c r="A26" s="7" t="s">
        <v>179</v>
      </c>
      <c r="B26" s="7" t="s">
        <v>157</v>
      </c>
      <c r="C26" s="7" t="s">
        <v>158</v>
      </c>
      <c r="D26" s="8">
        <v>1</v>
      </c>
      <c r="E26" s="7" t="str">
        <f>B26&amp;" Mastery "&amp;INDEX(Tiers!$B$2:$B$6,MATCH(D26,Tiers!$A$2:$A$6,0))</f>
        <v>Earth Mastery 0</v>
      </c>
      <c r="F26" s="9" t="s">
        <v>180</v>
      </c>
      <c r="G26" s="7" t="s">
        <v>181</v>
      </c>
      <c r="H26" s="7" t="s">
        <v>25</v>
      </c>
      <c r="I26" s="7" t="s">
        <v>26</v>
      </c>
      <c r="J26" s="10" t="s">
        <v>182</v>
      </c>
      <c r="K26" s="7" t="s">
        <v>168</v>
      </c>
      <c r="L26" s="7" t="s">
        <v>183</v>
      </c>
      <c r="M26" s="9" t="s">
        <v>50</v>
      </c>
      <c r="N26" s="7" t="s">
        <v>184</v>
      </c>
      <c r="O26" s="11">
        <v>10</v>
      </c>
      <c r="P26" s="11">
        <v>5</v>
      </c>
      <c r="Q26" s="11">
        <v>0.4</v>
      </c>
      <c r="R26" s="11">
        <v>50</v>
      </c>
      <c r="S26" s="7" t="s">
        <v>170</v>
      </c>
      <c r="T26" s="7"/>
      <c r="U26" s="7" t="s">
        <v>970</v>
      </c>
      <c r="V26" s="7" t="s">
        <v>975</v>
      </c>
      <c r="W26" s="7"/>
      <c r="X26" s="7" t="s">
        <v>989</v>
      </c>
    </row>
    <row r="27" spans="1:24" ht="42.75" x14ac:dyDescent="0.25">
      <c r="A27" s="7" t="s">
        <v>185</v>
      </c>
      <c r="B27" s="7" t="s">
        <v>157</v>
      </c>
      <c r="C27" s="7" t="s">
        <v>172</v>
      </c>
      <c r="D27" s="8">
        <v>2</v>
      </c>
      <c r="E27" s="7" t="str">
        <f>B27&amp;" Mastery "&amp;INDEX(Tiers!$B$2:$B$6,MATCH(D27,Tiers!$A$2:$A$6,0))</f>
        <v>Earth Mastery 150</v>
      </c>
      <c r="F27" s="9" t="s">
        <v>186</v>
      </c>
      <c r="G27" s="7" t="s">
        <v>174</v>
      </c>
      <c r="H27" s="7" t="s">
        <v>173</v>
      </c>
      <c r="I27" s="7" t="s">
        <v>26</v>
      </c>
      <c r="J27" s="10" t="s">
        <v>187</v>
      </c>
      <c r="K27" s="7" t="s">
        <v>176</v>
      </c>
      <c r="L27" s="7" t="s">
        <v>188</v>
      </c>
      <c r="M27" s="9" t="s">
        <v>58</v>
      </c>
      <c r="N27" s="7" t="s">
        <v>189</v>
      </c>
      <c r="O27" s="11">
        <v>15</v>
      </c>
      <c r="P27" s="11">
        <v>10</v>
      </c>
      <c r="Q27" s="11">
        <v>0.6</v>
      </c>
      <c r="R27" s="11">
        <v>70</v>
      </c>
      <c r="S27" s="7" t="s">
        <v>190</v>
      </c>
      <c r="T27" s="7"/>
      <c r="U27" s="7" t="s">
        <v>970</v>
      </c>
      <c r="V27" s="7" t="s">
        <v>975</v>
      </c>
      <c r="W27" s="7"/>
      <c r="X27" s="7" t="s">
        <v>990</v>
      </c>
    </row>
    <row r="28" spans="1:24" ht="42.75" x14ac:dyDescent="0.25">
      <c r="A28" s="7" t="s">
        <v>191</v>
      </c>
      <c r="B28" s="7" t="s">
        <v>157</v>
      </c>
      <c r="C28" s="7" t="s">
        <v>172</v>
      </c>
      <c r="D28" s="8">
        <v>2</v>
      </c>
      <c r="E28" s="7" t="str">
        <f>B28&amp;" Mastery "&amp;INDEX(Tiers!$B$2:$B$6,MATCH(D28,Tiers!$A$2:$A$6,0))</f>
        <v>Earth Mastery 150</v>
      </c>
      <c r="F28" s="9" t="s">
        <v>192</v>
      </c>
      <c r="G28" s="7" t="s">
        <v>193</v>
      </c>
      <c r="H28" s="7" t="s">
        <v>173</v>
      </c>
      <c r="I28" s="7" t="s">
        <v>26</v>
      </c>
      <c r="J28" s="10" t="s">
        <v>194</v>
      </c>
      <c r="K28" s="7" t="s">
        <v>176</v>
      </c>
      <c r="L28" s="7" t="s">
        <v>195</v>
      </c>
      <c r="M28" s="9" t="s">
        <v>58</v>
      </c>
      <c r="N28" s="7" t="s">
        <v>196</v>
      </c>
      <c r="O28" s="11">
        <v>10</v>
      </c>
      <c r="P28" s="11">
        <v>10</v>
      </c>
      <c r="Q28" s="11">
        <v>0.6</v>
      </c>
      <c r="R28" s="11">
        <v>70</v>
      </c>
      <c r="S28" s="7" t="s">
        <v>190</v>
      </c>
      <c r="T28" s="7"/>
      <c r="U28" s="7" t="s">
        <v>985</v>
      </c>
      <c r="V28" s="7"/>
      <c r="W28" s="7"/>
      <c r="X28" s="7"/>
    </row>
    <row r="29" spans="1:24" ht="42.75" x14ac:dyDescent="0.25">
      <c r="A29" s="7" t="s">
        <v>197</v>
      </c>
      <c r="B29" s="7" t="s">
        <v>157</v>
      </c>
      <c r="C29" s="7" t="s">
        <v>158</v>
      </c>
      <c r="D29" s="8">
        <v>2</v>
      </c>
      <c r="E29" s="7" t="str">
        <f>B29&amp;" Mastery "&amp;INDEX(Tiers!$B$2:$B$6,MATCH(D29,Tiers!$A$2:$A$6,0))</f>
        <v>Earth Mastery 150</v>
      </c>
      <c r="F29" s="9" t="s">
        <v>198</v>
      </c>
      <c r="G29" s="7" t="s">
        <v>199</v>
      </c>
      <c r="H29" s="7" t="s">
        <v>166</v>
      </c>
      <c r="I29" s="7" t="s">
        <v>26</v>
      </c>
      <c r="J29" s="10" t="s">
        <v>200</v>
      </c>
      <c r="K29" s="7" t="s">
        <v>168</v>
      </c>
      <c r="L29" s="7" t="s">
        <v>201</v>
      </c>
      <c r="M29" s="9" t="s">
        <v>50</v>
      </c>
      <c r="N29" s="7" t="s">
        <v>51</v>
      </c>
      <c r="O29" s="11">
        <v>18</v>
      </c>
      <c r="P29" s="11">
        <v>10</v>
      </c>
      <c r="Q29" s="11">
        <v>0.6</v>
      </c>
      <c r="R29" s="11">
        <v>70</v>
      </c>
      <c r="S29" s="7" t="s">
        <v>190</v>
      </c>
      <c r="T29" s="7"/>
      <c r="U29" s="7" t="s">
        <v>985</v>
      </c>
      <c r="V29" s="7"/>
      <c r="W29" s="7"/>
      <c r="X29" s="7"/>
    </row>
    <row r="30" spans="1:24" ht="42.75" x14ac:dyDescent="0.25">
      <c r="A30" s="7" t="s">
        <v>202</v>
      </c>
      <c r="B30" s="7" t="s">
        <v>157</v>
      </c>
      <c r="C30" s="7" t="s">
        <v>158</v>
      </c>
      <c r="D30" s="8">
        <v>2</v>
      </c>
      <c r="E30" s="7" t="str">
        <f>B30&amp;" Mastery "&amp;INDEX(Tiers!$B$2:$B$6,MATCH(D30,Tiers!$A$2:$A$6,0))</f>
        <v>Earth Mastery 150</v>
      </c>
      <c r="F30" s="9" t="s">
        <v>203</v>
      </c>
      <c r="G30" s="7" t="s">
        <v>181</v>
      </c>
      <c r="H30" s="7" t="s">
        <v>180</v>
      </c>
      <c r="I30" s="7" t="s">
        <v>26</v>
      </c>
      <c r="J30" s="10" t="s">
        <v>204</v>
      </c>
      <c r="K30" s="7" t="s">
        <v>168</v>
      </c>
      <c r="L30" s="7" t="s">
        <v>205</v>
      </c>
      <c r="M30" s="9" t="s">
        <v>50</v>
      </c>
      <c r="N30" s="7" t="s">
        <v>206</v>
      </c>
      <c r="O30" s="11">
        <v>15</v>
      </c>
      <c r="P30" s="11">
        <v>10</v>
      </c>
      <c r="Q30" s="11">
        <v>0.6</v>
      </c>
      <c r="R30" s="11">
        <v>70</v>
      </c>
      <c r="S30" s="7" t="s">
        <v>190</v>
      </c>
      <c r="T30" s="7"/>
      <c r="U30" s="7" t="s">
        <v>985</v>
      </c>
      <c r="V30" s="7"/>
      <c r="W30" s="7"/>
      <c r="X30" s="7"/>
    </row>
    <row r="31" spans="1:24" ht="42.75" x14ac:dyDescent="0.25">
      <c r="A31" s="7" t="s">
        <v>207</v>
      </c>
      <c r="B31" s="7" t="s">
        <v>157</v>
      </c>
      <c r="C31" s="7" t="s">
        <v>172</v>
      </c>
      <c r="D31" s="8">
        <v>2</v>
      </c>
      <c r="E31" s="7" t="str">
        <f>B31&amp;" Mastery "&amp;INDEX(Tiers!$B$2:$B$6,MATCH(D31,Tiers!$A$2:$A$6,0))</f>
        <v>Earth Mastery 150</v>
      </c>
      <c r="F31" s="9" t="s">
        <v>208</v>
      </c>
      <c r="G31" s="7" t="s">
        <v>174</v>
      </c>
      <c r="H31" s="7" t="s">
        <v>173</v>
      </c>
      <c r="I31" s="7" t="s">
        <v>26</v>
      </c>
      <c r="J31" s="10" t="s">
        <v>209</v>
      </c>
      <c r="K31" s="7" t="s">
        <v>176</v>
      </c>
      <c r="L31" s="7" t="s">
        <v>210</v>
      </c>
      <c r="M31" s="9" t="s">
        <v>58</v>
      </c>
      <c r="N31" s="7" t="s">
        <v>211</v>
      </c>
      <c r="O31" s="11">
        <v>12</v>
      </c>
      <c r="P31" s="11">
        <v>10</v>
      </c>
      <c r="Q31" s="11">
        <v>0.6</v>
      </c>
      <c r="R31" s="11">
        <v>70</v>
      </c>
      <c r="S31" s="7" t="s">
        <v>190</v>
      </c>
      <c r="T31" s="7"/>
      <c r="U31" s="7" t="s">
        <v>985</v>
      </c>
      <c r="V31" s="7"/>
      <c r="W31" s="7"/>
      <c r="X31" s="7"/>
    </row>
    <row r="32" spans="1:24" ht="42.75" x14ac:dyDescent="0.25">
      <c r="A32" s="7" t="s">
        <v>212</v>
      </c>
      <c r="B32" s="7" t="s">
        <v>157</v>
      </c>
      <c r="C32" s="7" t="s">
        <v>158</v>
      </c>
      <c r="D32" s="8">
        <v>3</v>
      </c>
      <c r="E32" s="7" t="str">
        <f>B32&amp;" Mastery "&amp;INDEX(Tiers!$B$2:$B$6,MATCH(D32,Tiers!$A$2:$A$6,0))</f>
        <v>Earth Mastery 350</v>
      </c>
      <c r="F32" s="9" t="s">
        <v>213</v>
      </c>
      <c r="G32" s="7" t="s">
        <v>214</v>
      </c>
      <c r="H32" s="7" t="s">
        <v>215</v>
      </c>
      <c r="I32" s="7" t="s">
        <v>26</v>
      </c>
      <c r="J32" s="10" t="s">
        <v>216</v>
      </c>
      <c r="K32" s="7" t="s">
        <v>168</v>
      </c>
      <c r="L32" s="7" t="s">
        <v>217</v>
      </c>
      <c r="M32" s="9" t="s">
        <v>50</v>
      </c>
      <c r="N32" s="7" t="s">
        <v>51</v>
      </c>
      <c r="O32" s="11">
        <v>30</v>
      </c>
      <c r="P32" s="11">
        <v>15</v>
      </c>
      <c r="Q32" s="11">
        <v>1.6</v>
      </c>
      <c r="R32" s="11">
        <v>100</v>
      </c>
      <c r="S32" s="7" t="s">
        <v>218</v>
      </c>
      <c r="T32" s="7"/>
      <c r="U32" s="7" t="s">
        <v>985</v>
      </c>
      <c r="V32" s="7"/>
      <c r="W32" s="7"/>
      <c r="X32" s="7"/>
    </row>
    <row r="33" spans="1:24" ht="42.75" x14ac:dyDescent="0.25">
      <c r="A33" s="7" t="s">
        <v>219</v>
      </c>
      <c r="B33" s="7" t="s">
        <v>157</v>
      </c>
      <c r="C33" s="7" t="s">
        <v>172</v>
      </c>
      <c r="D33" s="8">
        <v>3</v>
      </c>
      <c r="E33" s="7" t="str">
        <f>B33&amp;" Mastery "&amp;INDEX(Tiers!$B$2:$B$6,MATCH(D33,Tiers!$A$2:$A$6,0))</f>
        <v>Earth Mastery 350</v>
      </c>
      <c r="F33" s="9" t="s">
        <v>220</v>
      </c>
      <c r="G33" s="7" t="s">
        <v>221</v>
      </c>
      <c r="H33" s="7" t="s">
        <v>192</v>
      </c>
      <c r="I33" s="7" t="s">
        <v>26</v>
      </c>
      <c r="J33" s="10" t="s">
        <v>222</v>
      </c>
      <c r="K33" s="7" t="s">
        <v>161</v>
      </c>
      <c r="L33" s="7" t="s">
        <v>223</v>
      </c>
      <c r="M33" s="9" t="s">
        <v>58</v>
      </c>
      <c r="N33" s="7" t="s">
        <v>224</v>
      </c>
      <c r="O33" s="11">
        <v>20</v>
      </c>
      <c r="P33" s="11">
        <v>15</v>
      </c>
      <c r="Q33" s="11">
        <v>0.8</v>
      </c>
      <c r="R33" s="11">
        <v>100</v>
      </c>
      <c r="S33" s="7" t="s">
        <v>225</v>
      </c>
      <c r="T33" s="7"/>
      <c r="U33" s="7" t="s">
        <v>985</v>
      </c>
      <c r="V33" s="7"/>
      <c r="W33" s="7"/>
      <c r="X33" s="7"/>
    </row>
    <row r="34" spans="1:24" ht="42.75" x14ac:dyDescent="0.25">
      <c r="A34" s="7" t="s">
        <v>226</v>
      </c>
      <c r="B34" s="7" t="s">
        <v>157</v>
      </c>
      <c r="C34" s="7" t="s">
        <v>172</v>
      </c>
      <c r="D34" s="8">
        <v>3</v>
      </c>
      <c r="E34" s="7" t="str">
        <f>B34&amp;" Mastery "&amp;INDEX(Tiers!$B$2:$B$6,MATCH(D34,Tiers!$A$2:$A$6,0))</f>
        <v>Earth Mastery 350</v>
      </c>
      <c r="F34" s="9" t="s">
        <v>227</v>
      </c>
      <c r="G34" s="7" t="s">
        <v>174</v>
      </c>
      <c r="H34" s="7" t="s">
        <v>192</v>
      </c>
      <c r="I34" s="7" t="s">
        <v>26</v>
      </c>
      <c r="J34" s="10" t="s">
        <v>228</v>
      </c>
      <c r="K34" s="7" t="s">
        <v>176</v>
      </c>
      <c r="L34" s="7" t="s">
        <v>229</v>
      </c>
      <c r="M34" s="9" t="s">
        <v>58</v>
      </c>
      <c r="N34" s="7" t="s">
        <v>230</v>
      </c>
      <c r="O34" s="11">
        <v>18</v>
      </c>
      <c r="P34" s="11">
        <v>15</v>
      </c>
      <c r="Q34" s="11">
        <v>0.8</v>
      </c>
      <c r="R34" s="11">
        <v>100</v>
      </c>
      <c r="S34" s="7" t="s">
        <v>225</v>
      </c>
      <c r="T34" s="7"/>
      <c r="U34" s="7" t="s">
        <v>985</v>
      </c>
      <c r="V34" s="7"/>
      <c r="W34" s="7"/>
      <c r="X34" s="7"/>
    </row>
    <row r="35" spans="1:24" ht="42.75" x14ac:dyDescent="0.25">
      <c r="A35" s="7" t="s">
        <v>231</v>
      </c>
      <c r="B35" s="7" t="s">
        <v>157</v>
      </c>
      <c r="C35" s="7" t="s">
        <v>158</v>
      </c>
      <c r="D35" s="8">
        <v>3</v>
      </c>
      <c r="E35" s="7" t="str">
        <f>B35&amp;" Mastery "&amp;INDEX(Tiers!$B$2:$B$6,MATCH(D35,Tiers!$A$2:$A$6,0))</f>
        <v>Earth Mastery 350</v>
      </c>
      <c r="F35" s="9" t="s">
        <v>232</v>
      </c>
      <c r="G35" s="7" t="s">
        <v>233</v>
      </c>
      <c r="H35" s="7" t="s">
        <v>180</v>
      </c>
      <c r="I35" s="7" t="s">
        <v>26</v>
      </c>
      <c r="J35" s="10" t="s">
        <v>234</v>
      </c>
      <c r="K35" s="7" t="s">
        <v>176</v>
      </c>
      <c r="L35" s="7" t="s">
        <v>235</v>
      </c>
      <c r="M35" s="9" t="s">
        <v>50</v>
      </c>
      <c r="N35" s="7" t="s">
        <v>236</v>
      </c>
      <c r="O35" s="11">
        <v>30</v>
      </c>
      <c r="P35" s="11">
        <v>15</v>
      </c>
      <c r="Q35" s="11">
        <v>1.6</v>
      </c>
      <c r="R35" s="11">
        <v>100</v>
      </c>
      <c r="S35" s="7" t="s">
        <v>218</v>
      </c>
      <c r="T35" s="7"/>
      <c r="U35" s="7" t="s">
        <v>985</v>
      </c>
      <c r="V35" s="7"/>
      <c r="W35" s="7"/>
      <c r="X35" s="7"/>
    </row>
    <row r="36" spans="1:24" ht="42.75" x14ac:dyDescent="0.25">
      <c r="A36" s="7" t="s">
        <v>237</v>
      </c>
      <c r="B36" s="7" t="s">
        <v>157</v>
      </c>
      <c r="C36" s="7" t="s">
        <v>158</v>
      </c>
      <c r="D36" s="8">
        <v>3</v>
      </c>
      <c r="E36" s="7" t="str">
        <f>B36&amp;" Mastery "&amp;INDEX(Tiers!$B$2:$B$6,MATCH(D36,Tiers!$A$2:$A$6,0))</f>
        <v>Earth Mastery 350</v>
      </c>
      <c r="F36" s="9" t="s">
        <v>238</v>
      </c>
      <c r="G36" s="7" t="s">
        <v>47</v>
      </c>
      <c r="H36" s="7" t="s">
        <v>198</v>
      </c>
      <c r="I36" s="7" t="s">
        <v>26</v>
      </c>
      <c r="J36" s="10" t="s">
        <v>239</v>
      </c>
      <c r="K36" s="7" t="s">
        <v>168</v>
      </c>
      <c r="L36" s="7" t="s">
        <v>240</v>
      </c>
      <c r="M36" s="9" t="s">
        <v>50</v>
      </c>
      <c r="N36" s="7" t="s">
        <v>51</v>
      </c>
      <c r="O36" s="11">
        <v>40</v>
      </c>
      <c r="P36" s="11">
        <v>15</v>
      </c>
      <c r="Q36" s="11">
        <v>1.6</v>
      </c>
      <c r="R36" s="11">
        <v>100</v>
      </c>
      <c r="S36" s="7" t="s">
        <v>218</v>
      </c>
      <c r="T36" s="7"/>
      <c r="U36" s="7" t="s">
        <v>985</v>
      </c>
      <c r="V36" s="7"/>
      <c r="W36" s="7"/>
      <c r="X36" s="7"/>
    </row>
    <row r="37" spans="1:24" ht="42.75" x14ac:dyDescent="0.25">
      <c r="A37" s="7" t="s">
        <v>241</v>
      </c>
      <c r="B37" s="7" t="s">
        <v>157</v>
      </c>
      <c r="C37" s="7" t="s">
        <v>242</v>
      </c>
      <c r="D37" s="8">
        <v>4</v>
      </c>
      <c r="E37" s="7" t="str">
        <f>B37&amp;" Mastery "&amp;INDEX(Tiers!$B$2:$B$6,MATCH(D37,Tiers!$A$2:$A$6,0))</f>
        <v>Earth Mastery 600</v>
      </c>
      <c r="F37" s="9" t="s">
        <v>243</v>
      </c>
      <c r="G37" s="7" t="s">
        <v>244</v>
      </c>
      <c r="H37" s="7" t="s">
        <v>238</v>
      </c>
      <c r="I37" s="7" t="s">
        <v>26</v>
      </c>
      <c r="J37" s="10" t="s">
        <v>245</v>
      </c>
      <c r="K37" s="7" t="s">
        <v>161</v>
      </c>
      <c r="L37" s="7" t="s">
        <v>246</v>
      </c>
      <c r="M37" s="9" t="s">
        <v>30</v>
      </c>
      <c r="N37" s="7" t="s">
        <v>247</v>
      </c>
      <c r="O37" s="11">
        <v>20</v>
      </c>
      <c r="P37" s="11">
        <v>25</v>
      </c>
      <c r="Q37" s="11">
        <v>1</v>
      </c>
      <c r="R37" s="11">
        <v>150</v>
      </c>
      <c r="S37" s="7" t="s">
        <v>248</v>
      </c>
      <c r="T37" s="7"/>
      <c r="U37" s="7" t="s">
        <v>985</v>
      </c>
      <c r="V37" s="7"/>
      <c r="W37" s="7"/>
      <c r="X37" s="7"/>
    </row>
    <row r="38" spans="1:24" ht="42.75" x14ac:dyDescent="0.25">
      <c r="A38" s="7" t="s">
        <v>249</v>
      </c>
      <c r="B38" s="7" t="s">
        <v>157</v>
      </c>
      <c r="C38" s="7" t="s">
        <v>242</v>
      </c>
      <c r="D38" s="8">
        <v>4</v>
      </c>
      <c r="E38" s="7" t="str">
        <f>B38&amp;" Mastery "&amp;INDEX(Tiers!$B$2:$B$6,MATCH(D38,Tiers!$A$2:$A$6,0))</f>
        <v>Earth Mastery 600</v>
      </c>
      <c r="F38" s="9" t="s">
        <v>250</v>
      </c>
      <c r="G38" s="7" t="s">
        <v>251</v>
      </c>
      <c r="H38" s="7" t="s">
        <v>252</v>
      </c>
      <c r="I38" s="7" t="s">
        <v>26</v>
      </c>
      <c r="J38" s="10" t="s">
        <v>253</v>
      </c>
      <c r="K38" s="7" t="s">
        <v>176</v>
      </c>
      <c r="L38" s="7" t="s">
        <v>254</v>
      </c>
      <c r="M38" s="9" t="s">
        <v>58</v>
      </c>
      <c r="N38" s="7" t="s">
        <v>255</v>
      </c>
      <c r="O38" s="11">
        <v>30</v>
      </c>
      <c r="P38" s="11">
        <v>25</v>
      </c>
      <c r="Q38" s="11">
        <v>2</v>
      </c>
      <c r="R38" s="11">
        <v>150</v>
      </c>
      <c r="S38" s="7" t="s">
        <v>256</v>
      </c>
      <c r="T38" s="7"/>
      <c r="U38" s="7" t="s">
        <v>985</v>
      </c>
      <c r="V38" s="7"/>
      <c r="W38" s="7"/>
      <c r="X38" s="7"/>
    </row>
    <row r="39" spans="1:24" ht="42.75" x14ac:dyDescent="0.25">
      <c r="A39" s="7" t="s">
        <v>257</v>
      </c>
      <c r="B39" s="7" t="s">
        <v>157</v>
      </c>
      <c r="C39" s="7" t="s">
        <v>242</v>
      </c>
      <c r="D39" s="8">
        <v>4</v>
      </c>
      <c r="E39" s="7" t="str">
        <f>B39&amp;" Mastery "&amp;INDEX(Tiers!$B$2:$B$6,MATCH(D39,Tiers!$A$2:$A$6,0))</f>
        <v>Earth Mastery 600</v>
      </c>
      <c r="F39" s="9" t="s">
        <v>258</v>
      </c>
      <c r="G39" s="7" t="s">
        <v>259</v>
      </c>
      <c r="H39" s="7" t="s">
        <v>260</v>
      </c>
      <c r="I39" s="7" t="s">
        <v>26</v>
      </c>
      <c r="J39" s="10" t="s">
        <v>261</v>
      </c>
      <c r="K39" s="7" t="s">
        <v>262</v>
      </c>
      <c r="L39" s="7" t="s">
        <v>263</v>
      </c>
      <c r="M39" s="9" t="s">
        <v>58</v>
      </c>
      <c r="N39" s="7" t="s">
        <v>264</v>
      </c>
      <c r="O39" s="11">
        <v>35</v>
      </c>
      <c r="P39" s="11">
        <v>25</v>
      </c>
      <c r="Q39" s="11">
        <v>2</v>
      </c>
      <c r="R39" s="11">
        <v>150</v>
      </c>
      <c r="S39" s="7" t="s">
        <v>256</v>
      </c>
      <c r="T39" s="7"/>
      <c r="U39" s="7" t="s">
        <v>985</v>
      </c>
      <c r="V39" s="7"/>
      <c r="W39" s="7"/>
      <c r="X39" s="7"/>
    </row>
    <row r="40" spans="1:24" ht="42.75" x14ac:dyDescent="0.25">
      <c r="A40" s="7" t="s">
        <v>265</v>
      </c>
      <c r="B40" s="7" t="s">
        <v>157</v>
      </c>
      <c r="C40" s="7" t="s">
        <v>158</v>
      </c>
      <c r="D40" s="8">
        <v>4</v>
      </c>
      <c r="E40" s="7" t="str">
        <f>B40&amp;" Mastery "&amp;INDEX(Tiers!$B$2:$B$6,MATCH(D40,Tiers!$A$2:$A$6,0))</f>
        <v>Earth Mastery 600</v>
      </c>
      <c r="F40" s="9" t="s">
        <v>266</v>
      </c>
      <c r="G40" s="7" t="s">
        <v>267</v>
      </c>
      <c r="H40" s="7" t="s">
        <v>213</v>
      </c>
      <c r="I40" s="7" t="s">
        <v>26</v>
      </c>
      <c r="J40" s="10" t="s">
        <v>268</v>
      </c>
      <c r="K40" s="7" t="s">
        <v>168</v>
      </c>
      <c r="L40" s="7" t="s">
        <v>269</v>
      </c>
      <c r="M40" s="9" t="s">
        <v>50</v>
      </c>
      <c r="N40" s="7" t="s">
        <v>270</v>
      </c>
      <c r="O40" s="11">
        <v>60</v>
      </c>
      <c r="P40" s="11">
        <v>25</v>
      </c>
      <c r="Q40" s="11">
        <v>2</v>
      </c>
      <c r="R40" s="11">
        <v>150</v>
      </c>
      <c r="S40" s="7" t="s">
        <v>256</v>
      </c>
      <c r="T40" s="7"/>
      <c r="U40" s="7" t="s">
        <v>985</v>
      </c>
      <c r="V40" s="7"/>
      <c r="W40" s="7"/>
      <c r="X40" s="7"/>
    </row>
    <row r="41" spans="1:24" ht="42.75" x14ac:dyDescent="0.25">
      <c r="A41" s="7" t="s">
        <v>271</v>
      </c>
      <c r="B41" s="7" t="s">
        <v>157</v>
      </c>
      <c r="C41" s="7" t="s">
        <v>158</v>
      </c>
      <c r="D41" s="8">
        <v>5</v>
      </c>
      <c r="E41" s="7" t="str">
        <f>B41&amp;" Mastery "&amp;INDEX(Tiers!$B$2:$B$6,MATCH(D41,Tiers!$A$2:$A$6,0))</f>
        <v>Earth Mastery 900</v>
      </c>
      <c r="F41" s="9" t="s">
        <v>272</v>
      </c>
      <c r="G41" s="7" t="s">
        <v>267</v>
      </c>
      <c r="H41" s="7" t="s">
        <v>273</v>
      </c>
      <c r="I41" s="7" t="s">
        <v>26</v>
      </c>
      <c r="J41" s="10" t="s">
        <v>274</v>
      </c>
      <c r="K41" s="7" t="s">
        <v>168</v>
      </c>
      <c r="L41" s="7" t="s">
        <v>275</v>
      </c>
      <c r="M41" s="9" t="s">
        <v>50</v>
      </c>
      <c r="N41" s="7" t="s">
        <v>276</v>
      </c>
      <c r="O41" s="11">
        <v>120</v>
      </c>
      <c r="P41" s="11">
        <v>50</v>
      </c>
      <c r="Q41" s="11">
        <v>10</v>
      </c>
      <c r="R41" s="11">
        <v>200</v>
      </c>
      <c r="S41" s="7" t="s">
        <v>277</v>
      </c>
      <c r="T41" s="7"/>
      <c r="U41" s="7" t="s">
        <v>985</v>
      </c>
      <c r="V41" s="7"/>
      <c r="W41" s="7"/>
      <c r="X41" s="7"/>
    </row>
    <row r="42" spans="1:24" ht="42.75" x14ac:dyDescent="0.25">
      <c r="A42" s="7" t="s">
        <v>278</v>
      </c>
      <c r="B42" s="7" t="s">
        <v>157</v>
      </c>
      <c r="C42" s="7" t="s">
        <v>172</v>
      </c>
      <c r="D42" s="8">
        <v>5</v>
      </c>
      <c r="E42" s="7" t="str">
        <f>B42&amp;" Mastery "&amp;INDEX(Tiers!$B$2:$B$6,MATCH(D42,Tiers!$A$2:$A$6,0))</f>
        <v>Earth Mastery 900</v>
      </c>
      <c r="F42" s="9" t="s">
        <v>279</v>
      </c>
      <c r="G42" s="7" t="s">
        <v>280</v>
      </c>
      <c r="H42" s="7" t="s">
        <v>281</v>
      </c>
      <c r="I42" s="7" t="s">
        <v>26</v>
      </c>
      <c r="J42" s="10" t="s">
        <v>282</v>
      </c>
      <c r="K42" s="7" t="s">
        <v>161</v>
      </c>
      <c r="L42" s="7" t="s">
        <v>283</v>
      </c>
      <c r="M42" s="9" t="s">
        <v>58</v>
      </c>
      <c r="N42" s="7" t="s">
        <v>284</v>
      </c>
      <c r="O42" s="11">
        <v>90</v>
      </c>
      <c r="P42" s="11">
        <v>50</v>
      </c>
      <c r="Q42" s="11">
        <v>10</v>
      </c>
      <c r="R42" s="11">
        <v>200</v>
      </c>
      <c r="S42" s="7" t="s">
        <v>277</v>
      </c>
      <c r="T42" s="7"/>
      <c r="U42" s="7" t="s">
        <v>985</v>
      </c>
      <c r="V42" s="7"/>
      <c r="W42" s="7"/>
      <c r="X42" s="7"/>
    </row>
    <row r="43" spans="1:24" ht="42.75" x14ac:dyDescent="0.25">
      <c r="A43" s="12" t="s">
        <v>285</v>
      </c>
      <c r="B43" s="12" t="s">
        <v>286</v>
      </c>
      <c r="C43" s="12" t="s">
        <v>287</v>
      </c>
      <c r="D43" s="13">
        <v>1</v>
      </c>
      <c r="E43" s="12" t="str">
        <f>B43&amp;" Mastery "&amp;INDEX(Tiers!$B$2:$B$6,MATCH(D43,Tiers!$A$2:$A$6,0))</f>
        <v>Water Mastery 0</v>
      </c>
      <c r="F43" s="14" t="s">
        <v>288</v>
      </c>
      <c r="G43" s="12" t="s">
        <v>289</v>
      </c>
      <c r="H43" s="12" t="s">
        <v>25</v>
      </c>
      <c r="I43" s="12" t="s">
        <v>26</v>
      </c>
      <c r="J43" s="15" t="s">
        <v>290</v>
      </c>
      <c r="K43" s="12" t="s">
        <v>291</v>
      </c>
      <c r="L43" s="12" t="s">
        <v>292</v>
      </c>
      <c r="M43" s="14" t="s">
        <v>30</v>
      </c>
      <c r="N43" s="12" t="s">
        <v>293</v>
      </c>
      <c r="O43" s="16">
        <v>3</v>
      </c>
      <c r="P43" s="16">
        <v>5</v>
      </c>
      <c r="Q43" s="16">
        <v>0.2</v>
      </c>
      <c r="R43" s="16">
        <v>50</v>
      </c>
      <c r="S43" s="12" t="s">
        <v>294</v>
      </c>
      <c r="T43" s="12"/>
      <c r="U43" s="12" t="s">
        <v>970</v>
      </c>
      <c r="V43" s="12">
        <v>2</v>
      </c>
      <c r="W43" s="12" t="s">
        <v>991</v>
      </c>
      <c r="X43" s="12" t="s">
        <v>992</v>
      </c>
    </row>
    <row r="44" spans="1:24" ht="42.75" x14ac:dyDescent="0.25">
      <c r="A44" s="12" t="s">
        <v>295</v>
      </c>
      <c r="B44" s="12" t="s">
        <v>286</v>
      </c>
      <c r="C44" s="12" t="s">
        <v>296</v>
      </c>
      <c r="D44" s="13">
        <v>1</v>
      </c>
      <c r="E44" s="12" t="str">
        <f>B44&amp;" Mastery "&amp;INDEX(Tiers!$B$2:$B$6,MATCH(D44,Tiers!$A$2:$A$6,0))</f>
        <v>Water Mastery 0</v>
      </c>
      <c r="F44" s="14" t="s">
        <v>297</v>
      </c>
      <c r="G44" s="12" t="s">
        <v>24</v>
      </c>
      <c r="H44" s="12" t="s">
        <v>25</v>
      </c>
      <c r="I44" s="12" t="s">
        <v>26</v>
      </c>
      <c r="J44" s="15" t="s">
        <v>298</v>
      </c>
      <c r="K44" s="12" t="s">
        <v>291</v>
      </c>
      <c r="L44" s="12" t="s">
        <v>299</v>
      </c>
      <c r="M44" s="14" t="s">
        <v>30</v>
      </c>
      <c r="N44" s="12" t="s">
        <v>300</v>
      </c>
      <c r="O44" s="16">
        <v>2</v>
      </c>
      <c r="P44" s="16">
        <v>5</v>
      </c>
      <c r="Q44" s="16">
        <v>0.2</v>
      </c>
      <c r="R44" s="16">
        <v>50</v>
      </c>
      <c r="S44" s="12" t="s">
        <v>294</v>
      </c>
      <c r="T44" s="12"/>
      <c r="U44" s="12" t="s">
        <v>967</v>
      </c>
      <c r="V44" s="12">
        <v>3</v>
      </c>
      <c r="W44" s="12" t="s">
        <v>993</v>
      </c>
      <c r="X44" s="12" t="s">
        <v>994</v>
      </c>
    </row>
    <row r="45" spans="1:24" ht="42.75" x14ac:dyDescent="0.25">
      <c r="A45" s="12" t="s">
        <v>301</v>
      </c>
      <c r="B45" s="12" t="s">
        <v>286</v>
      </c>
      <c r="C45" s="12" t="s">
        <v>302</v>
      </c>
      <c r="D45" s="13">
        <v>1</v>
      </c>
      <c r="E45" s="12" t="str">
        <f>B45&amp;" Mastery "&amp;INDEX(Tiers!$B$2:$B$6,MATCH(D45,Tiers!$A$2:$A$6,0))</f>
        <v>Water Mastery 0</v>
      </c>
      <c r="F45" s="14" t="s">
        <v>303</v>
      </c>
      <c r="G45" s="12" t="s">
        <v>304</v>
      </c>
      <c r="H45" s="12" t="s">
        <v>25</v>
      </c>
      <c r="I45" s="12" t="s">
        <v>26</v>
      </c>
      <c r="J45" s="15" t="s">
        <v>305</v>
      </c>
      <c r="K45" s="12" t="s">
        <v>291</v>
      </c>
      <c r="L45" s="12" t="s">
        <v>306</v>
      </c>
      <c r="M45" s="14" t="s">
        <v>30</v>
      </c>
      <c r="N45" s="12" t="s">
        <v>307</v>
      </c>
      <c r="O45" s="16">
        <v>20</v>
      </c>
      <c r="P45" s="16">
        <v>5</v>
      </c>
      <c r="Q45" s="16">
        <v>0.4</v>
      </c>
      <c r="R45" s="16">
        <v>50</v>
      </c>
      <c r="S45" s="12" t="s">
        <v>308</v>
      </c>
      <c r="T45" s="12"/>
      <c r="U45" s="12" t="s">
        <v>970</v>
      </c>
      <c r="V45" s="12" t="s">
        <v>975</v>
      </c>
      <c r="W45" s="12"/>
      <c r="X45" s="12" t="s">
        <v>995</v>
      </c>
    </row>
    <row r="46" spans="1:24" ht="42.75" x14ac:dyDescent="0.25">
      <c r="A46" s="12" t="s">
        <v>309</v>
      </c>
      <c r="B46" s="12" t="s">
        <v>286</v>
      </c>
      <c r="C46" s="12" t="s">
        <v>310</v>
      </c>
      <c r="D46" s="13">
        <v>1</v>
      </c>
      <c r="E46" s="12" t="str">
        <f>B46&amp;" Mastery "&amp;INDEX(Tiers!$B$2:$B$6,MATCH(D46,Tiers!$A$2:$A$6,0))</f>
        <v>Water Mastery 0</v>
      </c>
      <c r="F46" s="14" t="s">
        <v>311</v>
      </c>
      <c r="G46" s="12" t="s">
        <v>312</v>
      </c>
      <c r="H46" s="12" t="s">
        <v>25</v>
      </c>
      <c r="I46" s="12" t="s">
        <v>26</v>
      </c>
      <c r="J46" s="15" t="s">
        <v>313</v>
      </c>
      <c r="K46" s="12" t="s">
        <v>291</v>
      </c>
      <c r="L46" s="12" t="s">
        <v>314</v>
      </c>
      <c r="M46" s="14" t="s">
        <v>43</v>
      </c>
      <c r="N46" s="12" t="s">
        <v>315</v>
      </c>
      <c r="O46" s="16">
        <v>4</v>
      </c>
      <c r="P46" s="16">
        <v>5</v>
      </c>
      <c r="Q46" s="16">
        <v>0.2</v>
      </c>
      <c r="R46" s="16">
        <v>50</v>
      </c>
      <c r="S46" s="12" t="s">
        <v>294</v>
      </c>
      <c r="T46" s="12"/>
      <c r="U46" s="12" t="s">
        <v>970</v>
      </c>
      <c r="V46" s="12">
        <v>1.5</v>
      </c>
      <c r="W46" s="12" t="s">
        <v>996</v>
      </c>
      <c r="X46" s="12" t="s">
        <v>997</v>
      </c>
    </row>
    <row r="47" spans="1:24" ht="42.75" x14ac:dyDescent="0.25">
      <c r="A47" s="12" t="s">
        <v>316</v>
      </c>
      <c r="B47" s="12" t="s">
        <v>286</v>
      </c>
      <c r="C47" s="12" t="s">
        <v>287</v>
      </c>
      <c r="D47" s="13">
        <v>2</v>
      </c>
      <c r="E47" s="12" t="str">
        <f>B47&amp;" Mastery "&amp;INDEX(Tiers!$B$2:$B$6,MATCH(D47,Tiers!$A$2:$A$6,0))</f>
        <v>Water Mastery 150</v>
      </c>
      <c r="F47" s="14" t="s">
        <v>317</v>
      </c>
      <c r="G47" s="12" t="s">
        <v>318</v>
      </c>
      <c r="H47" s="12" t="s">
        <v>288</v>
      </c>
      <c r="I47" s="12" t="s">
        <v>26</v>
      </c>
      <c r="J47" s="15" t="s">
        <v>319</v>
      </c>
      <c r="K47" s="12" t="s">
        <v>291</v>
      </c>
      <c r="L47" s="12" t="s">
        <v>320</v>
      </c>
      <c r="M47" s="14" t="s">
        <v>30</v>
      </c>
      <c r="N47" s="12" t="s">
        <v>321</v>
      </c>
      <c r="O47" s="16">
        <v>8</v>
      </c>
      <c r="P47" s="16">
        <v>10</v>
      </c>
      <c r="Q47" s="16">
        <v>0.3</v>
      </c>
      <c r="R47" s="16">
        <v>70</v>
      </c>
      <c r="S47" s="12" t="s">
        <v>322</v>
      </c>
      <c r="T47" s="12"/>
      <c r="U47" s="12" t="s">
        <v>970</v>
      </c>
      <c r="V47" s="12">
        <v>2.5</v>
      </c>
      <c r="W47" s="12" t="s">
        <v>998</v>
      </c>
      <c r="X47" s="12" t="s">
        <v>999</v>
      </c>
    </row>
    <row r="48" spans="1:24" ht="42.75" x14ac:dyDescent="0.25">
      <c r="A48" s="12" t="s">
        <v>323</v>
      </c>
      <c r="B48" s="12" t="s">
        <v>286</v>
      </c>
      <c r="C48" s="12" t="s">
        <v>296</v>
      </c>
      <c r="D48" s="13">
        <v>2</v>
      </c>
      <c r="E48" s="12" t="str">
        <f>B48&amp;" Mastery "&amp;INDEX(Tiers!$B$2:$B$6,MATCH(D48,Tiers!$A$2:$A$6,0))</f>
        <v>Water Mastery 150</v>
      </c>
      <c r="F48" s="14" t="s">
        <v>324</v>
      </c>
      <c r="G48" s="12" t="s">
        <v>312</v>
      </c>
      <c r="H48" s="12" t="s">
        <v>297</v>
      </c>
      <c r="I48" s="12" t="s">
        <v>26</v>
      </c>
      <c r="J48" s="15" t="s">
        <v>325</v>
      </c>
      <c r="K48" s="12" t="s">
        <v>291</v>
      </c>
      <c r="L48" s="12" t="s">
        <v>326</v>
      </c>
      <c r="M48" s="14" t="s">
        <v>43</v>
      </c>
      <c r="N48" s="12" t="s">
        <v>327</v>
      </c>
      <c r="O48" s="16">
        <v>8</v>
      </c>
      <c r="P48" s="16">
        <v>10</v>
      </c>
      <c r="Q48" s="16">
        <v>0.3</v>
      </c>
      <c r="R48" s="16">
        <v>70</v>
      </c>
      <c r="S48" s="12" t="s">
        <v>322</v>
      </c>
      <c r="T48" s="12"/>
      <c r="U48" s="12" t="s">
        <v>970</v>
      </c>
      <c r="V48" s="12">
        <v>2</v>
      </c>
      <c r="W48" s="12" t="s">
        <v>991</v>
      </c>
      <c r="X48" s="12" t="s">
        <v>1000</v>
      </c>
    </row>
    <row r="49" spans="1:24" ht="42.75" x14ac:dyDescent="0.25">
      <c r="A49" s="12" t="s">
        <v>328</v>
      </c>
      <c r="B49" s="12" t="s">
        <v>286</v>
      </c>
      <c r="C49" s="12" t="s">
        <v>296</v>
      </c>
      <c r="D49" s="13">
        <v>2</v>
      </c>
      <c r="E49" s="12" t="str">
        <f>B49&amp;" Mastery "&amp;INDEX(Tiers!$B$2:$B$6,MATCH(D49,Tiers!$A$2:$A$6,0))</f>
        <v>Water Mastery 150</v>
      </c>
      <c r="F49" s="14" t="s">
        <v>329</v>
      </c>
      <c r="G49" s="12" t="s">
        <v>330</v>
      </c>
      <c r="H49" s="12" t="s">
        <v>297</v>
      </c>
      <c r="I49" s="12" t="s">
        <v>26</v>
      </c>
      <c r="J49" s="15" t="s">
        <v>331</v>
      </c>
      <c r="K49" s="12" t="s">
        <v>291</v>
      </c>
      <c r="L49" s="12" t="s">
        <v>332</v>
      </c>
      <c r="M49" s="14" t="s">
        <v>30</v>
      </c>
      <c r="N49" s="12" t="s">
        <v>333</v>
      </c>
      <c r="O49" s="16">
        <v>10</v>
      </c>
      <c r="P49" s="16">
        <v>10</v>
      </c>
      <c r="Q49" s="16">
        <v>0.6</v>
      </c>
      <c r="R49" s="16">
        <v>70</v>
      </c>
      <c r="S49" s="12" t="s">
        <v>334</v>
      </c>
      <c r="T49" s="12"/>
      <c r="U49" s="12" t="s">
        <v>970</v>
      </c>
      <c r="V49" s="12">
        <v>2.5</v>
      </c>
      <c r="W49" s="12" t="s">
        <v>1001</v>
      </c>
      <c r="X49" s="12" t="s">
        <v>1002</v>
      </c>
    </row>
    <row r="50" spans="1:24" ht="42.75" x14ac:dyDescent="0.25">
      <c r="A50" s="12" t="s">
        <v>335</v>
      </c>
      <c r="B50" s="12" t="s">
        <v>286</v>
      </c>
      <c r="C50" s="12" t="s">
        <v>302</v>
      </c>
      <c r="D50" s="13">
        <v>2</v>
      </c>
      <c r="E50" s="12" t="str">
        <f>B50&amp;" Mastery "&amp;INDEX(Tiers!$B$2:$B$6,MATCH(D50,Tiers!$A$2:$A$6,0))</f>
        <v>Water Mastery 150</v>
      </c>
      <c r="F50" s="14" t="s">
        <v>336</v>
      </c>
      <c r="G50" s="12" t="s">
        <v>304</v>
      </c>
      <c r="H50" s="12" t="s">
        <v>303</v>
      </c>
      <c r="I50" s="12" t="s">
        <v>26</v>
      </c>
      <c r="J50" s="15" t="s">
        <v>337</v>
      </c>
      <c r="K50" s="12" t="s">
        <v>338</v>
      </c>
      <c r="L50" s="12" t="s">
        <v>339</v>
      </c>
      <c r="M50" s="14" t="s">
        <v>30</v>
      </c>
      <c r="N50" s="12" t="s">
        <v>307</v>
      </c>
      <c r="O50" s="16">
        <v>25</v>
      </c>
      <c r="P50" s="16">
        <v>10</v>
      </c>
      <c r="Q50" s="16">
        <v>0.6</v>
      </c>
      <c r="R50" s="16">
        <v>70</v>
      </c>
      <c r="S50" s="12" t="s">
        <v>334</v>
      </c>
      <c r="T50" s="12"/>
      <c r="U50" s="12" t="s">
        <v>970</v>
      </c>
      <c r="V50" s="12" t="s">
        <v>975</v>
      </c>
      <c r="W50" s="12"/>
      <c r="X50" s="12" t="s">
        <v>995</v>
      </c>
    </row>
    <row r="51" spans="1:24" ht="42.75" x14ac:dyDescent="0.25">
      <c r="A51" s="12" t="s">
        <v>340</v>
      </c>
      <c r="B51" s="12" t="s">
        <v>286</v>
      </c>
      <c r="C51" s="12" t="s">
        <v>310</v>
      </c>
      <c r="D51" s="13">
        <v>2</v>
      </c>
      <c r="E51" s="12" t="str">
        <f>B51&amp;" Mastery "&amp;INDEX(Tiers!$B$2:$B$6,MATCH(D51,Tiers!$A$2:$A$6,0))</f>
        <v>Water Mastery 150</v>
      </c>
      <c r="F51" s="14" t="s">
        <v>341</v>
      </c>
      <c r="G51" s="12" t="s">
        <v>342</v>
      </c>
      <c r="H51" s="12" t="s">
        <v>311</v>
      </c>
      <c r="I51" s="12" t="s">
        <v>26</v>
      </c>
      <c r="J51" s="15" t="s">
        <v>343</v>
      </c>
      <c r="K51" s="12" t="s">
        <v>291</v>
      </c>
      <c r="L51" s="12" t="s">
        <v>344</v>
      </c>
      <c r="M51" s="14" t="s">
        <v>58</v>
      </c>
      <c r="N51" s="12" t="s">
        <v>345</v>
      </c>
      <c r="O51" s="16">
        <v>10</v>
      </c>
      <c r="P51" s="16">
        <v>10</v>
      </c>
      <c r="Q51" s="16">
        <v>0.6</v>
      </c>
      <c r="R51" s="16">
        <v>70</v>
      </c>
      <c r="S51" s="12" t="s">
        <v>334</v>
      </c>
      <c r="T51" s="12"/>
      <c r="U51" s="12" t="s">
        <v>970</v>
      </c>
      <c r="V51" s="12">
        <v>2.5</v>
      </c>
      <c r="W51" s="12" t="s">
        <v>1001</v>
      </c>
      <c r="X51" s="12" t="s">
        <v>1003</v>
      </c>
    </row>
    <row r="52" spans="1:24" ht="42.75" x14ac:dyDescent="0.25">
      <c r="A52" s="12" t="s">
        <v>346</v>
      </c>
      <c r="B52" s="12" t="s">
        <v>286</v>
      </c>
      <c r="C52" s="12" t="s">
        <v>287</v>
      </c>
      <c r="D52" s="13">
        <v>3</v>
      </c>
      <c r="E52" s="12" t="str">
        <f>B52&amp;" Mastery "&amp;INDEX(Tiers!$B$2:$B$6,MATCH(D52,Tiers!$A$2:$A$6,0))</f>
        <v>Water Mastery 350</v>
      </c>
      <c r="F52" s="14" t="s">
        <v>347</v>
      </c>
      <c r="G52" s="12" t="s">
        <v>348</v>
      </c>
      <c r="H52" s="12" t="s">
        <v>317</v>
      </c>
      <c r="I52" s="12" t="s">
        <v>26</v>
      </c>
      <c r="J52" s="15" t="s">
        <v>349</v>
      </c>
      <c r="K52" s="12" t="s">
        <v>291</v>
      </c>
      <c r="L52" s="12" t="s">
        <v>350</v>
      </c>
      <c r="M52" s="14" t="s">
        <v>30</v>
      </c>
      <c r="N52" s="12" t="s">
        <v>307</v>
      </c>
      <c r="O52" s="16">
        <v>20</v>
      </c>
      <c r="P52" s="16">
        <v>15</v>
      </c>
      <c r="Q52" s="16">
        <v>0.8</v>
      </c>
      <c r="R52" s="16">
        <v>100</v>
      </c>
      <c r="S52" s="12" t="s">
        <v>351</v>
      </c>
      <c r="T52" s="12"/>
      <c r="U52" s="12" t="s">
        <v>985</v>
      </c>
      <c r="V52" s="12"/>
      <c r="W52" s="12"/>
      <c r="X52" s="12"/>
    </row>
    <row r="53" spans="1:24" ht="42.75" x14ac:dyDescent="0.25">
      <c r="A53" s="12" t="s">
        <v>352</v>
      </c>
      <c r="B53" s="12" t="s">
        <v>286</v>
      </c>
      <c r="C53" s="12" t="s">
        <v>296</v>
      </c>
      <c r="D53" s="13">
        <v>3</v>
      </c>
      <c r="E53" s="12" t="str">
        <f>B53&amp;" Mastery "&amp;INDEX(Tiers!$B$2:$B$6,MATCH(D53,Tiers!$A$2:$A$6,0))</f>
        <v>Water Mastery 350</v>
      </c>
      <c r="F53" s="14" t="s">
        <v>353</v>
      </c>
      <c r="G53" s="12" t="s">
        <v>24</v>
      </c>
      <c r="H53" s="12" t="s">
        <v>324</v>
      </c>
      <c r="I53" s="12" t="s">
        <v>26</v>
      </c>
      <c r="J53" s="15" t="s">
        <v>354</v>
      </c>
      <c r="K53" s="12" t="s">
        <v>291</v>
      </c>
      <c r="L53" s="12" t="s">
        <v>355</v>
      </c>
      <c r="M53" s="14" t="s">
        <v>43</v>
      </c>
      <c r="N53" s="12" t="s">
        <v>356</v>
      </c>
      <c r="O53" s="16">
        <v>12</v>
      </c>
      <c r="P53" s="16">
        <v>15</v>
      </c>
      <c r="Q53" s="16">
        <v>0.8</v>
      </c>
      <c r="R53" s="16">
        <v>100</v>
      </c>
      <c r="S53" s="12" t="s">
        <v>351</v>
      </c>
      <c r="T53" s="12"/>
      <c r="U53" s="12" t="s">
        <v>985</v>
      </c>
      <c r="V53" s="12"/>
      <c r="W53" s="12"/>
      <c r="X53" s="12"/>
    </row>
    <row r="54" spans="1:24" ht="42.75" x14ac:dyDescent="0.25">
      <c r="A54" s="12" t="s">
        <v>357</v>
      </c>
      <c r="B54" s="12" t="s">
        <v>286</v>
      </c>
      <c r="C54" s="12" t="s">
        <v>302</v>
      </c>
      <c r="D54" s="13">
        <v>3</v>
      </c>
      <c r="E54" s="12" t="str">
        <f>B54&amp;" Mastery "&amp;INDEX(Tiers!$B$2:$B$6,MATCH(D54,Tiers!$A$2:$A$6,0))</f>
        <v>Water Mastery 350</v>
      </c>
      <c r="F54" s="14" t="s">
        <v>358</v>
      </c>
      <c r="G54" s="12" t="s">
        <v>199</v>
      </c>
      <c r="H54" s="12" t="s">
        <v>336</v>
      </c>
      <c r="I54" s="12" t="s">
        <v>26</v>
      </c>
      <c r="J54" s="15" t="s">
        <v>359</v>
      </c>
      <c r="K54" s="12" t="s">
        <v>291</v>
      </c>
      <c r="L54" s="12" t="s">
        <v>360</v>
      </c>
      <c r="M54" s="14" t="s">
        <v>30</v>
      </c>
      <c r="N54" s="12" t="s">
        <v>307</v>
      </c>
      <c r="O54" s="16">
        <v>20</v>
      </c>
      <c r="P54" s="16">
        <v>15</v>
      </c>
      <c r="Q54" s="16">
        <v>0.8</v>
      </c>
      <c r="R54" s="16">
        <v>100</v>
      </c>
      <c r="S54" s="12" t="s">
        <v>351</v>
      </c>
      <c r="T54" s="12"/>
      <c r="U54" s="12" t="s">
        <v>985</v>
      </c>
      <c r="V54" s="12"/>
      <c r="W54" s="12"/>
      <c r="X54" s="12"/>
    </row>
    <row r="55" spans="1:24" ht="42.75" x14ac:dyDescent="0.25">
      <c r="A55" s="12" t="s">
        <v>361</v>
      </c>
      <c r="B55" s="12" t="s">
        <v>286</v>
      </c>
      <c r="C55" s="12" t="s">
        <v>310</v>
      </c>
      <c r="D55" s="13">
        <v>3</v>
      </c>
      <c r="E55" s="12" t="str">
        <f>B55&amp;" Mastery "&amp;INDEX(Tiers!$B$2:$B$6,MATCH(D55,Tiers!$A$2:$A$6,0))</f>
        <v>Water Mastery 350</v>
      </c>
      <c r="F55" s="14" t="s">
        <v>362</v>
      </c>
      <c r="G55" s="12" t="s">
        <v>363</v>
      </c>
      <c r="H55" s="12" t="s">
        <v>341</v>
      </c>
      <c r="I55" s="12" t="s">
        <v>26</v>
      </c>
      <c r="J55" s="15" t="s">
        <v>364</v>
      </c>
      <c r="K55" s="12" t="s">
        <v>291</v>
      </c>
      <c r="L55" s="12" t="s">
        <v>365</v>
      </c>
      <c r="M55" s="14" t="s">
        <v>30</v>
      </c>
      <c r="N55" s="12" t="s">
        <v>366</v>
      </c>
      <c r="O55" s="16">
        <v>20</v>
      </c>
      <c r="P55" s="16">
        <v>15</v>
      </c>
      <c r="Q55" s="16">
        <v>0.8</v>
      </c>
      <c r="R55" s="16">
        <v>100</v>
      </c>
      <c r="S55" s="12" t="s">
        <v>351</v>
      </c>
      <c r="T55" s="12"/>
      <c r="U55" s="12" t="s">
        <v>985</v>
      </c>
      <c r="V55" s="12"/>
      <c r="W55" s="12"/>
      <c r="X55" s="12"/>
    </row>
    <row r="56" spans="1:24" ht="42.75" x14ac:dyDescent="0.25">
      <c r="A56" s="12" t="s">
        <v>367</v>
      </c>
      <c r="B56" s="12" t="s">
        <v>286</v>
      </c>
      <c r="C56" s="12" t="s">
        <v>287</v>
      </c>
      <c r="D56" s="13">
        <v>3</v>
      </c>
      <c r="E56" s="12" t="str">
        <f>B56&amp;" Mastery "&amp;INDEX(Tiers!$B$2:$B$6,MATCH(D56,Tiers!$A$2:$A$6,0))</f>
        <v>Water Mastery 350</v>
      </c>
      <c r="F56" s="14" t="s">
        <v>368</v>
      </c>
      <c r="G56" s="12" t="s">
        <v>369</v>
      </c>
      <c r="H56" s="12" t="s">
        <v>347</v>
      </c>
      <c r="I56" s="12" t="s">
        <v>26</v>
      </c>
      <c r="J56" s="15" t="s">
        <v>370</v>
      </c>
      <c r="K56" s="12" t="s">
        <v>371</v>
      </c>
      <c r="L56" s="12" t="s">
        <v>372</v>
      </c>
      <c r="M56" s="14" t="s">
        <v>30</v>
      </c>
      <c r="N56" s="12" t="s">
        <v>373</v>
      </c>
      <c r="O56" s="16">
        <v>120</v>
      </c>
      <c r="P56" s="16">
        <v>15</v>
      </c>
      <c r="Q56" s="16">
        <v>4</v>
      </c>
      <c r="R56" s="16">
        <v>100</v>
      </c>
      <c r="S56" s="12" t="s">
        <v>374</v>
      </c>
      <c r="T56" s="12"/>
      <c r="U56" s="12" t="s">
        <v>985</v>
      </c>
      <c r="V56" s="12"/>
      <c r="W56" s="12"/>
      <c r="X56" s="12"/>
    </row>
    <row r="57" spans="1:24" ht="42.75" x14ac:dyDescent="0.25">
      <c r="A57" s="12" t="s">
        <v>375</v>
      </c>
      <c r="B57" s="12" t="s">
        <v>286</v>
      </c>
      <c r="C57" s="12" t="s">
        <v>296</v>
      </c>
      <c r="D57" s="13">
        <v>4</v>
      </c>
      <c r="E57" s="12" t="str">
        <f>B57&amp;" Mastery "&amp;INDEX(Tiers!$B$2:$B$6,MATCH(D57,Tiers!$A$2:$A$6,0))</f>
        <v>Water Mastery 600</v>
      </c>
      <c r="F57" s="14" t="s">
        <v>376</v>
      </c>
      <c r="G57" s="12" t="s">
        <v>342</v>
      </c>
      <c r="H57" s="12" t="s">
        <v>353</v>
      </c>
      <c r="I57" s="12" t="s">
        <v>26</v>
      </c>
      <c r="J57" s="15" t="s">
        <v>377</v>
      </c>
      <c r="K57" s="12" t="s">
        <v>291</v>
      </c>
      <c r="L57" s="12" t="s">
        <v>378</v>
      </c>
      <c r="M57" s="14" t="s">
        <v>43</v>
      </c>
      <c r="N57" s="12" t="s">
        <v>379</v>
      </c>
      <c r="O57" s="16">
        <v>30</v>
      </c>
      <c r="P57" s="16">
        <v>25</v>
      </c>
      <c r="Q57" s="16">
        <v>2</v>
      </c>
      <c r="R57" s="16">
        <v>150</v>
      </c>
      <c r="S57" s="12" t="s">
        <v>380</v>
      </c>
      <c r="T57" s="12"/>
      <c r="U57" s="12" t="s">
        <v>985</v>
      </c>
      <c r="V57" s="12"/>
      <c r="W57" s="12"/>
      <c r="X57" s="12"/>
    </row>
    <row r="58" spans="1:24" ht="42.75" x14ac:dyDescent="0.25">
      <c r="A58" s="12" t="s">
        <v>381</v>
      </c>
      <c r="B58" s="12" t="s">
        <v>286</v>
      </c>
      <c r="C58" s="12" t="s">
        <v>302</v>
      </c>
      <c r="D58" s="13">
        <v>4</v>
      </c>
      <c r="E58" s="12" t="str">
        <f>B58&amp;" Mastery "&amp;INDEX(Tiers!$B$2:$B$6,MATCH(D58,Tiers!$A$2:$A$6,0))</f>
        <v>Water Mastery 600</v>
      </c>
      <c r="F58" s="14" t="s">
        <v>382</v>
      </c>
      <c r="G58" s="12" t="s">
        <v>383</v>
      </c>
      <c r="H58" s="12" t="s">
        <v>358</v>
      </c>
      <c r="I58" s="12" t="s">
        <v>26</v>
      </c>
      <c r="J58" s="15" t="s">
        <v>384</v>
      </c>
      <c r="K58" s="12" t="s">
        <v>291</v>
      </c>
      <c r="L58" s="12" t="s">
        <v>385</v>
      </c>
      <c r="M58" s="14" t="s">
        <v>50</v>
      </c>
      <c r="N58" s="12" t="s">
        <v>386</v>
      </c>
      <c r="O58" s="16">
        <v>45</v>
      </c>
      <c r="P58" s="16">
        <v>25</v>
      </c>
      <c r="Q58" s="16">
        <v>2</v>
      </c>
      <c r="R58" s="16">
        <v>150</v>
      </c>
      <c r="S58" s="12" t="s">
        <v>380</v>
      </c>
      <c r="T58" s="12"/>
      <c r="U58" s="12" t="s">
        <v>985</v>
      </c>
      <c r="V58" s="12"/>
      <c r="W58" s="12"/>
      <c r="X58" s="12"/>
    </row>
    <row r="59" spans="1:24" ht="42.75" x14ac:dyDescent="0.25">
      <c r="A59" s="12" t="s">
        <v>387</v>
      </c>
      <c r="B59" s="12" t="s">
        <v>286</v>
      </c>
      <c r="C59" s="12" t="s">
        <v>287</v>
      </c>
      <c r="D59" s="13">
        <v>4</v>
      </c>
      <c r="E59" s="12" t="str">
        <f>B59&amp;" Mastery "&amp;INDEX(Tiers!$B$2:$B$6,MATCH(D59,Tiers!$A$2:$A$6,0))</f>
        <v>Water Mastery 600</v>
      </c>
      <c r="F59" s="14" t="s">
        <v>388</v>
      </c>
      <c r="G59" s="12" t="s">
        <v>389</v>
      </c>
      <c r="H59" s="12" t="s">
        <v>347</v>
      </c>
      <c r="I59" s="12" t="s">
        <v>26</v>
      </c>
      <c r="J59" s="15" t="s">
        <v>390</v>
      </c>
      <c r="K59" s="12" t="s">
        <v>291</v>
      </c>
      <c r="L59" s="12" t="s">
        <v>391</v>
      </c>
      <c r="M59" s="14" t="s">
        <v>58</v>
      </c>
      <c r="N59" s="12" t="s">
        <v>392</v>
      </c>
      <c r="O59" s="16">
        <v>25</v>
      </c>
      <c r="P59" s="16">
        <v>25</v>
      </c>
      <c r="Q59" s="16">
        <v>1</v>
      </c>
      <c r="R59" s="16">
        <v>150</v>
      </c>
      <c r="S59" s="12" t="s">
        <v>393</v>
      </c>
      <c r="T59" s="12"/>
      <c r="U59" s="12" t="s">
        <v>985</v>
      </c>
      <c r="V59" s="12"/>
      <c r="W59" s="12"/>
      <c r="X59" s="12"/>
    </row>
    <row r="60" spans="1:24" ht="42.75" x14ac:dyDescent="0.25">
      <c r="A60" s="12" t="s">
        <v>394</v>
      </c>
      <c r="B60" s="12" t="s">
        <v>286</v>
      </c>
      <c r="C60" s="12" t="s">
        <v>310</v>
      </c>
      <c r="D60" s="13">
        <v>4</v>
      </c>
      <c r="E60" s="12" t="str">
        <f>B60&amp;" Mastery "&amp;INDEX(Tiers!$B$2:$B$6,MATCH(D60,Tiers!$A$2:$A$6,0))</f>
        <v>Water Mastery 600</v>
      </c>
      <c r="F60" s="14" t="s">
        <v>395</v>
      </c>
      <c r="G60" s="12" t="s">
        <v>396</v>
      </c>
      <c r="H60" s="12" t="s">
        <v>397</v>
      </c>
      <c r="I60" s="12" t="s">
        <v>26</v>
      </c>
      <c r="J60" s="15" t="s">
        <v>398</v>
      </c>
      <c r="K60" s="12" t="s">
        <v>291</v>
      </c>
      <c r="L60" s="12" t="s">
        <v>399</v>
      </c>
      <c r="M60" s="14" t="s">
        <v>58</v>
      </c>
      <c r="N60" s="12" t="s">
        <v>400</v>
      </c>
      <c r="O60" s="16">
        <v>30</v>
      </c>
      <c r="P60" s="16">
        <v>25</v>
      </c>
      <c r="Q60" s="16">
        <v>2</v>
      </c>
      <c r="R60" s="16">
        <v>150</v>
      </c>
      <c r="S60" s="12" t="s">
        <v>380</v>
      </c>
      <c r="T60" s="12"/>
      <c r="U60" s="12" t="s">
        <v>985</v>
      </c>
      <c r="V60" s="12"/>
      <c r="W60" s="12"/>
      <c r="X60" s="12"/>
    </row>
    <row r="61" spans="1:24" ht="42.75" x14ac:dyDescent="0.25">
      <c r="A61" s="12" t="s">
        <v>401</v>
      </c>
      <c r="B61" s="12" t="s">
        <v>286</v>
      </c>
      <c r="C61" s="12" t="s">
        <v>310</v>
      </c>
      <c r="D61" s="13">
        <v>4</v>
      </c>
      <c r="E61" s="12" t="str">
        <f>B61&amp;" Mastery "&amp;INDEX(Tiers!$B$2:$B$6,MATCH(D61,Tiers!$A$2:$A$6,0))</f>
        <v>Water Mastery 600</v>
      </c>
      <c r="F61" s="14" t="s">
        <v>402</v>
      </c>
      <c r="G61" s="12" t="s">
        <v>403</v>
      </c>
      <c r="H61" s="12" t="s">
        <v>362</v>
      </c>
      <c r="I61" s="12" t="s">
        <v>26</v>
      </c>
      <c r="J61" s="15" t="s">
        <v>404</v>
      </c>
      <c r="K61" s="12" t="s">
        <v>291</v>
      </c>
      <c r="L61" s="12" t="s">
        <v>405</v>
      </c>
      <c r="M61" s="14" t="s">
        <v>30</v>
      </c>
      <c r="N61" s="12" t="s">
        <v>406</v>
      </c>
      <c r="O61" s="16">
        <v>60</v>
      </c>
      <c r="P61" s="16">
        <v>25</v>
      </c>
      <c r="Q61" s="16">
        <v>2</v>
      </c>
      <c r="R61" s="16">
        <v>150</v>
      </c>
      <c r="S61" s="12" t="s">
        <v>380</v>
      </c>
      <c r="T61" s="12"/>
      <c r="U61" s="12" t="s">
        <v>985</v>
      </c>
      <c r="V61" s="12"/>
      <c r="W61" s="12"/>
      <c r="X61" s="12"/>
    </row>
    <row r="62" spans="1:24" ht="42.75" x14ac:dyDescent="0.25">
      <c r="A62" s="12" t="s">
        <v>407</v>
      </c>
      <c r="B62" s="12" t="s">
        <v>286</v>
      </c>
      <c r="C62" s="12" t="s">
        <v>296</v>
      </c>
      <c r="D62" s="13">
        <v>4</v>
      </c>
      <c r="E62" s="12" t="str">
        <f>B62&amp;" Mastery "&amp;INDEX(Tiers!$B$2:$B$6,MATCH(D62,Tiers!$A$2:$A$6,0))</f>
        <v>Water Mastery 600</v>
      </c>
      <c r="F62" s="14" t="s">
        <v>408</v>
      </c>
      <c r="G62" s="12" t="s">
        <v>409</v>
      </c>
      <c r="H62" s="12" t="s">
        <v>410</v>
      </c>
      <c r="I62" s="12" t="s">
        <v>26</v>
      </c>
      <c r="J62" s="15" t="s">
        <v>411</v>
      </c>
      <c r="K62" s="12" t="s">
        <v>291</v>
      </c>
      <c r="L62" s="12" t="s">
        <v>412</v>
      </c>
      <c r="M62" s="14" t="s">
        <v>50</v>
      </c>
      <c r="N62" s="12" t="s">
        <v>413</v>
      </c>
      <c r="O62" s="16">
        <v>45</v>
      </c>
      <c r="P62" s="16">
        <v>25</v>
      </c>
      <c r="Q62" s="16">
        <v>2</v>
      </c>
      <c r="R62" s="16">
        <v>150</v>
      </c>
      <c r="S62" s="12" t="s">
        <v>380</v>
      </c>
      <c r="T62" s="12"/>
      <c r="U62" s="12" t="s">
        <v>985</v>
      </c>
      <c r="V62" s="12"/>
      <c r="W62" s="12"/>
      <c r="X62" s="12"/>
    </row>
    <row r="63" spans="1:24" ht="42.75" x14ac:dyDescent="0.25">
      <c r="A63" s="12" t="s">
        <v>414</v>
      </c>
      <c r="B63" s="12" t="s">
        <v>286</v>
      </c>
      <c r="C63" s="12" t="s">
        <v>302</v>
      </c>
      <c r="D63" s="13">
        <v>5</v>
      </c>
      <c r="E63" s="12" t="str">
        <f>B63&amp;" Mastery "&amp;INDEX(Tiers!$B$2:$B$6,MATCH(D63,Tiers!$A$2:$A$6,0))</f>
        <v>Water Mastery 900</v>
      </c>
      <c r="F63" s="14" t="s">
        <v>415</v>
      </c>
      <c r="G63" s="12" t="s">
        <v>47</v>
      </c>
      <c r="H63" s="12" t="s">
        <v>382</v>
      </c>
      <c r="I63" s="12" t="s">
        <v>26</v>
      </c>
      <c r="J63" s="15" t="s">
        <v>416</v>
      </c>
      <c r="K63" s="12" t="s">
        <v>291</v>
      </c>
      <c r="L63" s="12" t="s">
        <v>417</v>
      </c>
      <c r="M63" s="14" t="s">
        <v>50</v>
      </c>
      <c r="N63" s="12" t="s">
        <v>51</v>
      </c>
      <c r="O63" s="16">
        <v>120</v>
      </c>
      <c r="P63" s="16">
        <v>50</v>
      </c>
      <c r="Q63" s="16">
        <v>10</v>
      </c>
      <c r="R63" s="16">
        <v>200</v>
      </c>
      <c r="S63" s="12" t="s">
        <v>418</v>
      </c>
      <c r="T63" s="12"/>
      <c r="U63" s="12" t="s">
        <v>985</v>
      </c>
      <c r="V63" s="12"/>
      <c r="W63" s="12"/>
      <c r="X63" s="12"/>
    </row>
    <row r="64" spans="1:24" ht="42.75" x14ac:dyDescent="0.25">
      <c r="A64" s="12" t="s">
        <v>419</v>
      </c>
      <c r="B64" s="12" t="s">
        <v>286</v>
      </c>
      <c r="C64" s="12" t="s">
        <v>287</v>
      </c>
      <c r="D64" s="13">
        <v>5</v>
      </c>
      <c r="E64" s="12" t="str">
        <f>B64&amp;" Mastery "&amp;INDEX(Tiers!$B$2:$B$6,MATCH(D64,Tiers!$A$2:$A$6,0))</f>
        <v>Water Mastery 900</v>
      </c>
      <c r="F64" s="14" t="s">
        <v>420</v>
      </c>
      <c r="G64" s="12" t="s">
        <v>47</v>
      </c>
      <c r="H64" s="12" t="s">
        <v>421</v>
      </c>
      <c r="I64" s="12" t="s">
        <v>26</v>
      </c>
      <c r="J64" s="15" t="s">
        <v>422</v>
      </c>
      <c r="K64" s="12" t="s">
        <v>291</v>
      </c>
      <c r="L64" s="12" t="s">
        <v>423</v>
      </c>
      <c r="M64" s="14" t="s">
        <v>50</v>
      </c>
      <c r="N64" s="12" t="s">
        <v>424</v>
      </c>
      <c r="O64" s="16">
        <v>120</v>
      </c>
      <c r="P64" s="16">
        <v>50</v>
      </c>
      <c r="Q64" s="16">
        <v>10</v>
      </c>
      <c r="R64" s="16">
        <v>200</v>
      </c>
      <c r="S64" s="12" t="s">
        <v>418</v>
      </c>
      <c r="T64" s="12"/>
      <c r="U64" s="12" t="s">
        <v>985</v>
      </c>
      <c r="V64" s="12"/>
      <c r="W64" s="12"/>
      <c r="X64" s="12"/>
    </row>
    <row r="65" spans="1:24" ht="42.75" x14ac:dyDescent="0.25">
      <c r="A65" s="12" t="s">
        <v>425</v>
      </c>
      <c r="B65" s="12" t="s">
        <v>286</v>
      </c>
      <c r="C65" s="12" t="s">
        <v>287</v>
      </c>
      <c r="D65" s="13">
        <v>5</v>
      </c>
      <c r="E65" s="12" t="str">
        <f>B65&amp;" Mastery "&amp;INDEX(Tiers!$B$2:$B$6,MATCH(D65,Tiers!$A$2:$A$6,0))</f>
        <v>Water Mastery 900</v>
      </c>
      <c r="F65" s="14" t="s">
        <v>426</v>
      </c>
      <c r="G65" s="12" t="s">
        <v>427</v>
      </c>
      <c r="H65" s="12" t="s">
        <v>428</v>
      </c>
      <c r="I65" s="12" t="s">
        <v>26</v>
      </c>
      <c r="J65" s="15" t="s">
        <v>429</v>
      </c>
      <c r="K65" s="12" t="s">
        <v>371</v>
      </c>
      <c r="L65" s="12" t="s">
        <v>430</v>
      </c>
      <c r="M65" s="14" t="s">
        <v>50</v>
      </c>
      <c r="N65" s="12" t="s">
        <v>431</v>
      </c>
      <c r="O65" s="16">
        <v>600</v>
      </c>
      <c r="P65" s="16">
        <v>50</v>
      </c>
      <c r="Q65" s="16">
        <v>10</v>
      </c>
      <c r="R65" s="16">
        <v>200</v>
      </c>
      <c r="S65" s="12" t="s">
        <v>418</v>
      </c>
      <c r="T65" s="12"/>
      <c r="U65" s="12" t="s">
        <v>985</v>
      </c>
      <c r="V65" s="12"/>
      <c r="W65" s="12"/>
      <c r="X65" s="12"/>
    </row>
    <row r="66" spans="1:24" ht="28.5" x14ac:dyDescent="0.25">
      <c r="A66" s="17" t="s">
        <v>432</v>
      </c>
      <c r="B66" s="17" t="s">
        <v>433</v>
      </c>
      <c r="C66" s="17" t="s">
        <v>434</v>
      </c>
      <c r="D66" s="18">
        <v>1</v>
      </c>
      <c r="E66" s="17" t="str">
        <f>B66&amp;" Mastery "&amp;INDEX(Tiers!$B$2:$B$6,MATCH(D66,Tiers!$A$2:$A$6,0))</f>
        <v>Air Mastery 0</v>
      </c>
      <c r="F66" s="19" t="s">
        <v>435</v>
      </c>
      <c r="G66" s="17" t="s">
        <v>403</v>
      </c>
      <c r="H66" s="17" t="s">
        <v>25</v>
      </c>
      <c r="I66" s="17" t="s">
        <v>26</v>
      </c>
      <c r="J66" s="20" t="s">
        <v>436</v>
      </c>
      <c r="K66" s="17" t="s">
        <v>437</v>
      </c>
      <c r="L66" s="17" t="s">
        <v>438</v>
      </c>
      <c r="M66" s="19" t="s">
        <v>30</v>
      </c>
      <c r="N66" s="17" t="s">
        <v>439</v>
      </c>
      <c r="O66" s="21">
        <v>4</v>
      </c>
      <c r="P66" s="21">
        <v>5</v>
      </c>
      <c r="Q66" s="21">
        <v>0.2</v>
      </c>
      <c r="R66" s="21">
        <v>50</v>
      </c>
      <c r="S66" s="17" t="s">
        <v>440</v>
      </c>
      <c r="T66" s="17"/>
      <c r="U66" s="17" t="s">
        <v>970</v>
      </c>
      <c r="V66" s="17">
        <v>0.8</v>
      </c>
      <c r="W66" s="17" t="s">
        <v>1004</v>
      </c>
      <c r="X66" s="17" t="s">
        <v>1005</v>
      </c>
    </row>
    <row r="67" spans="1:24" ht="28.5" x14ac:dyDescent="0.25">
      <c r="A67" s="17" t="s">
        <v>441</v>
      </c>
      <c r="B67" s="17" t="s">
        <v>433</v>
      </c>
      <c r="C67" s="17" t="s">
        <v>442</v>
      </c>
      <c r="D67" s="18">
        <v>1</v>
      </c>
      <c r="E67" s="17" t="str">
        <f>B67&amp;" Mastery "&amp;INDEX(Tiers!$B$2:$B$6,MATCH(D67,Tiers!$A$2:$A$6,0))</f>
        <v>Air Mastery 0</v>
      </c>
      <c r="F67" s="19" t="s">
        <v>443</v>
      </c>
      <c r="G67" s="17" t="s">
        <v>444</v>
      </c>
      <c r="H67" s="17" t="s">
        <v>25</v>
      </c>
      <c r="I67" s="17" t="s">
        <v>26</v>
      </c>
      <c r="J67" s="20" t="s">
        <v>445</v>
      </c>
      <c r="K67" s="17" t="s">
        <v>437</v>
      </c>
      <c r="L67" s="17" t="s">
        <v>446</v>
      </c>
      <c r="M67" s="19" t="s">
        <v>30</v>
      </c>
      <c r="N67" s="17" t="s">
        <v>447</v>
      </c>
      <c r="O67" s="21">
        <v>10</v>
      </c>
      <c r="P67" s="21">
        <v>5</v>
      </c>
      <c r="Q67" s="21">
        <v>0.4</v>
      </c>
      <c r="R67" s="21">
        <v>50</v>
      </c>
      <c r="S67" s="17" t="s">
        <v>448</v>
      </c>
      <c r="T67" s="17"/>
      <c r="U67" s="17" t="s">
        <v>970</v>
      </c>
      <c r="V67" s="17" t="s">
        <v>975</v>
      </c>
      <c r="W67" s="17"/>
      <c r="X67" s="17" t="s">
        <v>1006</v>
      </c>
    </row>
    <row r="68" spans="1:24" ht="28.5" x14ac:dyDescent="0.25">
      <c r="A68" s="17" t="s">
        <v>449</v>
      </c>
      <c r="B68" s="17" t="s">
        <v>433</v>
      </c>
      <c r="C68" s="17" t="s">
        <v>450</v>
      </c>
      <c r="D68" s="18">
        <v>1</v>
      </c>
      <c r="E68" s="17" t="str">
        <f>B68&amp;" Mastery "&amp;INDEX(Tiers!$B$2:$B$6,MATCH(D68,Tiers!$A$2:$A$6,0))</f>
        <v>Air Mastery 0</v>
      </c>
      <c r="F68" s="19" t="s">
        <v>451</v>
      </c>
      <c r="G68" s="17" t="s">
        <v>55</v>
      </c>
      <c r="H68" s="17" t="s">
        <v>25</v>
      </c>
      <c r="I68" s="17" t="s">
        <v>26</v>
      </c>
      <c r="J68" s="20" t="s">
        <v>452</v>
      </c>
      <c r="K68" s="17" t="s">
        <v>453</v>
      </c>
      <c r="L68" s="17" t="s">
        <v>454</v>
      </c>
      <c r="M68" s="19" t="s">
        <v>50</v>
      </c>
      <c r="N68" s="17" t="s">
        <v>51</v>
      </c>
      <c r="O68" s="21">
        <v>10</v>
      </c>
      <c r="P68" s="21">
        <v>5</v>
      </c>
      <c r="Q68" s="21">
        <v>0.4</v>
      </c>
      <c r="R68" s="21">
        <v>50</v>
      </c>
      <c r="S68" s="17" t="s">
        <v>448</v>
      </c>
      <c r="T68" s="17"/>
      <c r="U68" s="17" t="s">
        <v>970</v>
      </c>
      <c r="V68" s="17" t="s">
        <v>975</v>
      </c>
      <c r="W68" s="17"/>
      <c r="X68" s="17" t="s">
        <v>1007</v>
      </c>
    </row>
    <row r="69" spans="1:24" ht="28.5" x14ac:dyDescent="0.25">
      <c r="A69" s="17" t="s">
        <v>455</v>
      </c>
      <c r="B69" s="17" t="s">
        <v>433</v>
      </c>
      <c r="C69" s="17" t="s">
        <v>434</v>
      </c>
      <c r="D69" s="18">
        <v>1</v>
      </c>
      <c r="E69" s="17" t="str">
        <f>B69&amp;" Mastery "&amp;INDEX(Tiers!$B$2:$B$6,MATCH(D69,Tiers!$A$2:$A$6,0))</f>
        <v>Air Mastery 0</v>
      </c>
      <c r="F69" s="19" t="s">
        <v>456</v>
      </c>
      <c r="G69" s="17" t="s">
        <v>403</v>
      </c>
      <c r="H69" s="17" t="s">
        <v>25</v>
      </c>
      <c r="I69" s="17" t="s">
        <v>26</v>
      </c>
      <c r="J69" s="20" t="s">
        <v>457</v>
      </c>
      <c r="K69" s="17" t="s">
        <v>437</v>
      </c>
      <c r="L69" s="17" t="s">
        <v>458</v>
      </c>
      <c r="M69" s="19" t="s">
        <v>43</v>
      </c>
      <c r="N69" s="17" t="s">
        <v>459</v>
      </c>
      <c r="O69" s="21">
        <v>10</v>
      </c>
      <c r="P69" s="21">
        <v>5</v>
      </c>
      <c r="Q69" s="21">
        <v>0.4</v>
      </c>
      <c r="R69" s="21">
        <v>50</v>
      </c>
      <c r="S69" s="17" t="s">
        <v>448</v>
      </c>
      <c r="T69" s="17"/>
      <c r="U69" s="17" t="s">
        <v>985</v>
      </c>
      <c r="V69" s="17"/>
      <c r="W69" s="17"/>
      <c r="X69" s="17"/>
    </row>
    <row r="70" spans="1:24" ht="28.5" x14ac:dyDescent="0.25">
      <c r="A70" s="17" t="s">
        <v>460</v>
      </c>
      <c r="B70" s="17" t="s">
        <v>433</v>
      </c>
      <c r="C70" s="17" t="s">
        <v>434</v>
      </c>
      <c r="D70" s="18">
        <v>2</v>
      </c>
      <c r="E70" s="17" t="str">
        <f>B70&amp;" Mastery "&amp;INDEX(Tiers!$B$2:$B$6,MATCH(D70,Tiers!$A$2:$A$6,0))</f>
        <v>Air Mastery 150</v>
      </c>
      <c r="F70" s="19" t="s">
        <v>461</v>
      </c>
      <c r="G70" s="17" t="s">
        <v>403</v>
      </c>
      <c r="H70" s="17" t="s">
        <v>435</v>
      </c>
      <c r="I70" s="17" t="s">
        <v>26</v>
      </c>
      <c r="J70" s="20" t="s">
        <v>462</v>
      </c>
      <c r="K70" s="17" t="s">
        <v>437</v>
      </c>
      <c r="L70" s="17" t="s">
        <v>463</v>
      </c>
      <c r="M70" s="19" t="s">
        <v>30</v>
      </c>
      <c r="N70" s="17" t="s">
        <v>464</v>
      </c>
      <c r="O70" s="21">
        <v>10</v>
      </c>
      <c r="P70" s="21">
        <v>10</v>
      </c>
      <c r="Q70" s="21">
        <v>0.6</v>
      </c>
      <c r="R70" s="21">
        <v>70</v>
      </c>
      <c r="S70" s="17" t="s">
        <v>465</v>
      </c>
      <c r="T70" s="17"/>
      <c r="U70" s="17" t="s">
        <v>970</v>
      </c>
      <c r="V70" s="17">
        <v>1.2</v>
      </c>
      <c r="W70" s="17" t="s">
        <v>1008</v>
      </c>
      <c r="X70" s="17" t="s">
        <v>1009</v>
      </c>
    </row>
    <row r="71" spans="1:24" ht="28.5" x14ac:dyDescent="0.25">
      <c r="A71" s="17" t="s">
        <v>466</v>
      </c>
      <c r="B71" s="17" t="s">
        <v>433</v>
      </c>
      <c r="C71" s="17" t="s">
        <v>434</v>
      </c>
      <c r="D71" s="18">
        <v>2</v>
      </c>
      <c r="E71" s="17" t="str">
        <f>B71&amp;" Mastery "&amp;INDEX(Tiers!$B$2:$B$6,MATCH(D71,Tiers!$A$2:$A$6,0))</f>
        <v>Air Mastery 150</v>
      </c>
      <c r="F71" s="19" t="s">
        <v>467</v>
      </c>
      <c r="G71" s="17" t="s">
        <v>403</v>
      </c>
      <c r="H71" s="17" t="s">
        <v>456</v>
      </c>
      <c r="I71" s="17" t="s">
        <v>26</v>
      </c>
      <c r="J71" s="20" t="s">
        <v>468</v>
      </c>
      <c r="K71" s="17" t="s">
        <v>437</v>
      </c>
      <c r="L71" s="17" t="s">
        <v>469</v>
      </c>
      <c r="M71" s="19" t="s">
        <v>58</v>
      </c>
      <c r="N71" s="17" t="s">
        <v>470</v>
      </c>
      <c r="O71" s="21">
        <v>18</v>
      </c>
      <c r="P71" s="21">
        <v>10</v>
      </c>
      <c r="Q71" s="21">
        <v>0.6</v>
      </c>
      <c r="R71" s="21">
        <v>70</v>
      </c>
      <c r="S71" s="17" t="s">
        <v>465</v>
      </c>
      <c r="T71" s="17"/>
      <c r="U71" s="17" t="s">
        <v>985</v>
      </c>
      <c r="V71" s="17"/>
      <c r="W71" s="17"/>
      <c r="X71" s="17"/>
    </row>
    <row r="72" spans="1:24" ht="28.5" x14ac:dyDescent="0.25">
      <c r="A72" s="17" t="s">
        <v>471</v>
      </c>
      <c r="B72" s="17" t="s">
        <v>433</v>
      </c>
      <c r="C72" s="17" t="s">
        <v>442</v>
      </c>
      <c r="D72" s="18">
        <v>2</v>
      </c>
      <c r="E72" s="17" t="str">
        <f>B72&amp;" Mastery "&amp;INDEX(Tiers!$B$2:$B$6,MATCH(D72,Tiers!$A$2:$A$6,0))</f>
        <v>Air Mastery 150</v>
      </c>
      <c r="F72" s="19" t="s">
        <v>472</v>
      </c>
      <c r="G72" s="17" t="s">
        <v>403</v>
      </c>
      <c r="H72" s="17" t="s">
        <v>443</v>
      </c>
      <c r="I72" s="17" t="s">
        <v>26</v>
      </c>
      <c r="J72" s="20" t="s">
        <v>473</v>
      </c>
      <c r="K72" s="17" t="s">
        <v>437</v>
      </c>
      <c r="L72" s="17" t="s">
        <v>474</v>
      </c>
      <c r="M72" s="19" t="s">
        <v>30</v>
      </c>
      <c r="N72" s="17" t="s">
        <v>475</v>
      </c>
      <c r="O72" s="21">
        <v>18</v>
      </c>
      <c r="P72" s="21">
        <v>10</v>
      </c>
      <c r="Q72" s="21">
        <v>0.6</v>
      </c>
      <c r="R72" s="21">
        <v>70</v>
      </c>
      <c r="S72" s="17" t="s">
        <v>465</v>
      </c>
      <c r="T72" s="17"/>
      <c r="U72" s="17" t="s">
        <v>985</v>
      </c>
      <c r="V72" s="17"/>
      <c r="W72" s="17"/>
      <c r="X72" s="17"/>
    </row>
    <row r="73" spans="1:24" ht="28.5" x14ac:dyDescent="0.25">
      <c r="A73" s="17" t="s">
        <v>476</v>
      </c>
      <c r="B73" s="17" t="s">
        <v>433</v>
      </c>
      <c r="C73" s="17" t="s">
        <v>450</v>
      </c>
      <c r="D73" s="18">
        <v>2</v>
      </c>
      <c r="E73" s="17" t="str">
        <f>B73&amp;" Mastery "&amp;INDEX(Tiers!$B$2:$B$6,MATCH(D73,Tiers!$A$2:$A$6,0))</f>
        <v>Air Mastery 150</v>
      </c>
      <c r="F73" s="19" t="s">
        <v>477</v>
      </c>
      <c r="G73" s="17" t="s">
        <v>55</v>
      </c>
      <c r="H73" s="17" t="s">
        <v>451</v>
      </c>
      <c r="I73" s="17" t="s">
        <v>26</v>
      </c>
      <c r="J73" s="20" t="s">
        <v>478</v>
      </c>
      <c r="K73" s="17" t="s">
        <v>453</v>
      </c>
      <c r="L73" s="17" t="s">
        <v>479</v>
      </c>
      <c r="M73" s="19" t="s">
        <v>50</v>
      </c>
      <c r="N73" s="17" t="s">
        <v>51</v>
      </c>
      <c r="O73" s="21">
        <v>15</v>
      </c>
      <c r="P73" s="21">
        <v>10</v>
      </c>
      <c r="Q73" s="21">
        <v>0.6</v>
      </c>
      <c r="R73" s="21">
        <v>70</v>
      </c>
      <c r="S73" s="17" t="s">
        <v>465</v>
      </c>
      <c r="T73" s="17"/>
      <c r="U73" s="17" t="s">
        <v>985</v>
      </c>
      <c r="V73" s="17"/>
      <c r="W73" s="17"/>
      <c r="X73" s="17"/>
    </row>
    <row r="74" spans="1:24" ht="28.5" x14ac:dyDescent="0.25">
      <c r="A74" s="17" t="s">
        <v>480</v>
      </c>
      <c r="B74" s="17" t="s">
        <v>433</v>
      </c>
      <c r="C74" s="17" t="s">
        <v>450</v>
      </c>
      <c r="D74" s="18">
        <v>2</v>
      </c>
      <c r="E74" s="17" t="str">
        <f>B74&amp;" Mastery "&amp;INDEX(Tiers!$B$2:$B$6,MATCH(D74,Tiers!$A$2:$A$6,0))</f>
        <v>Air Mastery 150</v>
      </c>
      <c r="F74" s="19" t="s">
        <v>481</v>
      </c>
      <c r="G74" s="17" t="s">
        <v>482</v>
      </c>
      <c r="H74" s="17" t="s">
        <v>451</v>
      </c>
      <c r="I74" s="17" t="s">
        <v>26</v>
      </c>
      <c r="J74" s="20" t="s">
        <v>483</v>
      </c>
      <c r="K74" s="17" t="s">
        <v>437</v>
      </c>
      <c r="L74" s="17" t="s">
        <v>484</v>
      </c>
      <c r="M74" s="19" t="s">
        <v>50</v>
      </c>
      <c r="N74" s="17" t="s">
        <v>485</v>
      </c>
      <c r="O74" s="21">
        <v>18</v>
      </c>
      <c r="P74" s="21">
        <v>10</v>
      </c>
      <c r="Q74" s="21">
        <v>0.6</v>
      </c>
      <c r="R74" s="21">
        <v>70</v>
      </c>
      <c r="S74" s="17" t="s">
        <v>465</v>
      </c>
      <c r="T74" s="17"/>
      <c r="U74" s="17" t="s">
        <v>985</v>
      </c>
      <c r="V74" s="17"/>
      <c r="W74" s="17"/>
      <c r="X74" s="17"/>
    </row>
    <row r="75" spans="1:24" ht="42.75" x14ac:dyDescent="0.25">
      <c r="A75" s="17" t="s">
        <v>486</v>
      </c>
      <c r="B75" s="17" t="s">
        <v>433</v>
      </c>
      <c r="C75" s="17" t="s">
        <v>434</v>
      </c>
      <c r="D75" s="18">
        <v>3</v>
      </c>
      <c r="E75" s="17" t="str">
        <f>B75&amp;" Mastery "&amp;INDEX(Tiers!$B$2:$B$6,MATCH(D75,Tiers!$A$2:$A$6,0))</f>
        <v>Air Mastery 350</v>
      </c>
      <c r="F75" s="19" t="s">
        <v>487</v>
      </c>
      <c r="G75" s="17" t="s">
        <v>403</v>
      </c>
      <c r="H75" s="17" t="s">
        <v>467</v>
      </c>
      <c r="I75" s="17" t="s">
        <v>26</v>
      </c>
      <c r="J75" s="20" t="s">
        <v>488</v>
      </c>
      <c r="K75" s="17" t="s">
        <v>437</v>
      </c>
      <c r="L75" s="17" t="s">
        <v>489</v>
      </c>
      <c r="M75" s="19" t="s">
        <v>43</v>
      </c>
      <c r="N75" s="17" t="s">
        <v>490</v>
      </c>
      <c r="O75" s="21">
        <v>25</v>
      </c>
      <c r="P75" s="21">
        <v>15</v>
      </c>
      <c r="Q75" s="21">
        <v>0.8</v>
      </c>
      <c r="R75" s="21">
        <v>100</v>
      </c>
      <c r="S75" s="17" t="s">
        <v>491</v>
      </c>
      <c r="T75" s="17"/>
      <c r="U75" s="17" t="s">
        <v>985</v>
      </c>
      <c r="V75" s="17"/>
      <c r="W75" s="17"/>
      <c r="X75" s="17"/>
    </row>
    <row r="76" spans="1:24" ht="42.75" x14ac:dyDescent="0.25">
      <c r="A76" s="17" t="s">
        <v>492</v>
      </c>
      <c r="B76" s="17" t="s">
        <v>433</v>
      </c>
      <c r="C76" s="17" t="s">
        <v>442</v>
      </c>
      <c r="D76" s="18">
        <v>3</v>
      </c>
      <c r="E76" s="17" t="str">
        <f>B76&amp;" Mastery "&amp;INDEX(Tiers!$B$2:$B$6,MATCH(D76,Tiers!$A$2:$A$6,0))</f>
        <v>Air Mastery 350</v>
      </c>
      <c r="F76" s="19" t="s">
        <v>493</v>
      </c>
      <c r="G76" s="17" t="s">
        <v>494</v>
      </c>
      <c r="H76" s="17" t="s">
        <v>443</v>
      </c>
      <c r="I76" s="17" t="s">
        <v>26</v>
      </c>
      <c r="J76" s="20" t="s">
        <v>495</v>
      </c>
      <c r="K76" s="17" t="s">
        <v>437</v>
      </c>
      <c r="L76" s="17" t="s">
        <v>496</v>
      </c>
      <c r="M76" s="19" t="s">
        <v>30</v>
      </c>
      <c r="N76" s="17" t="s">
        <v>321</v>
      </c>
      <c r="O76" s="21">
        <v>25</v>
      </c>
      <c r="P76" s="21">
        <v>15</v>
      </c>
      <c r="Q76" s="21">
        <v>0.8</v>
      </c>
      <c r="R76" s="21">
        <v>100</v>
      </c>
      <c r="S76" s="17" t="s">
        <v>491</v>
      </c>
      <c r="T76" s="17"/>
      <c r="U76" s="17" t="s">
        <v>985</v>
      </c>
      <c r="V76" s="17"/>
      <c r="W76" s="17"/>
      <c r="X76" s="17"/>
    </row>
    <row r="77" spans="1:24" ht="42.75" x14ac:dyDescent="0.25">
      <c r="A77" s="17" t="s">
        <v>497</v>
      </c>
      <c r="B77" s="17" t="s">
        <v>433</v>
      </c>
      <c r="C77" s="17" t="s">
        <v>442</v>
      </c>
      <c r="D77" s="18">
        <v>3</v>
      </c>
      <c r="E77" s="17" t="str">
        <f>B77&amp;" Mastery "&amp;INDEX(Tiers!$B$2:$B$6,MATCH(D77,Tiers!$A$2:$A$6,0))</f>
        <v>Air Mastery 350</v>
      </c>
      <c r="F77" s="19" t="s">
        <v>498</v>
      </c>
      <c r="G77" s="17" t="s">
        <v>403</v>
      </c>
      <c r="H77" s="17" t="s">
        <v>472</v>
      </c>
      <c r="I77" s="17" t="s">
        <v>26</v>
      </c>
      <c r="J77" s="20" t="s">
        <v>499</v>
      </c>
      <c r="K77" s="17" t="s">
        <v>437</v>
      </c>
      <c r="L77" s="17" t="s">
        <v>500</v>
      </c>
      <c r="M77" s="19" t="s">
        <v>30</v>
      </c>
      <c r="N77" s="17" t="s">
        <v>501</v>
      </c>
      <c r="O77" s="21">
        <v>30</v>
      </c>
      <c r="P77" s="21">
        <v>15</v>
      </c>
      <c r="Q77" s="21">
        <v>1.6</v>
      </c>
      <c r="R77" s="21">
        <v>100</v>
      </c>
      <c r="S77" s="17" t="s">
        <v>502</v>
      </c>
      <c r="T77" s="17"/>
      <c r="U77" s="17" t="s">
        <v>985</v>
      </c>
      <c r="V77" s="17"/>
      <c r="W77" s="17"/>
      <c r="X77" s="17"/>
    </row>
    <row r="78" spans="1:24" ht="42.75" x14ac:dyDescent="0.25">
      <c r="A78" s="17" t="s">
        <v>503</v>
      </c>
      <c r="B78" s="17" t="s">
        <v>433</v>
      </c>
      <c r="C78" s="17" t="s">
        <v>434</v>
      </c>
      <c r="D78" s="18">
        <v>3</v>
      </c>
      <c r="E78" s="17" t="str">
        <f>B78&amp;" Mastery "&amp;INDEX(Tiers!$B$2:$B$6,MATCH(D78,Tiers!$A$2:$A$6,0))</f>
        <v>Air Mastery 350</v>
      </c>
      <c r="F78" s="19" t="s">
        <v>504</v>
      </c>
      <c r="G78" s="17" t="s">
        <v>403</v>
      </c>
      <c r="H78" s="17" t="s">
        <v>505</v>
      </c>
      <c r="I78" s="17" t="s">
        <v>26</v>
      </c>
      <c r="J78" s="20" t="s">
        <v>506</v>
      </c>
      <c r="K78" s="17" t="s">
        <v>437</v>
      </c>
      <c r="L78" s="17" t="s">
        <v>507</v>
      </c>
      <c r="M78" s="19" t="s">
        <v>50</v>
      </c>
      <c r="N78" s="17" t="s">
        <v>508</v>
      </c>
      <c r="O78" s="21">
        <v>16</v>
      </c>
      <c r="P78" s="21">
        <v>15</v>
      </c>
      <c r="Q78" s="21">
        <v>0.8</v>
      </c>
      <c r="R78" s="21">
        <v>100</v>
      </c>
      <c r="S78" s="17" t="s">
        <v>491</v>
      </c>
      <c r="T78" s="17"/>
      <c r="U78" s="17" t="s">
        <v>985</v>
      </c>
      <c r="V78" s="17"/>
      <c r="W78" s="17"/>
      <c r="X78" s="17"/>
    </row>
    <row r="79" spans="1:24" ht="42.75" x14ac:dyDescent="0.25">
      <c r="A79" s="17" t="s">
        <v>509</v>
      </c>
      <c r="B79" s="17" t="s">
        <v>433</v>
      </c>
      <c r="C79" s="17" t="s">
        <v>450</v>
      </c>
      <c r="D79" s="18">
        <v>3</v>
      </c>
      <c r="E79" s="17" t="str">
        <f>B79&amp;" Mastery "&amp;INDEX(Tiers!$B$2:$B$6,MATCH(D79,Tiers!$A$2:$A$6,0))</f>
        <v>Air Mastery 350</v>
      </c>
      <c r="F79" s="19" t="s">
        <v>510</v>
      </c>
      <c r="G79" s="17" t="s">
        <v>482</v>
      </c>
      <c r="H79" s="17" t="s">
        <v>477</v>
      </c>
      <c r="I79" s="17" t="s">
        <v>26</v>
      </c>
      <c r="J79" s="20" t="s">
        <v>511</v>
      </c>
      <c r="K79" s="17" t="s">
        <v>437</v>
      </c>
      <c r="L79" s="17" t="s">
        <v>512</v>
      </c>
      <c r="M79" s="19" t="s">
        <v>58</v>
      </c>
      <c r="N79" s="17" t="s">
        <v>513</v>
      </c>
      <c r="O79" s="21">
        <v>15</v>
      </c>
      <c r="P79" s="21">
        <v>15</v>
      </c>
      <c r="Q79" s="21">
        <v>0.8</v>
      </c>
      <c r="R79" s="21">
        <v>100</v>
      </c>
      <c r="S79" s="17" t="s">
        <v>491</v>
      </c>
      <c r="T79" s="17"/>
      <c r="U79" s="17" t="s">
        <v>985</v>
      </c>
      <c r="V79" s="17"/>
      <c r="W79" s="17"/>
      <c r="X79" s="17"/>
    </row>
    <row r="80" spans="1:24" ht="42.75" x14ac:dyDescent="0.25">
      <c r="A80" s="17" t="s">
        <v>514</v>
      </c>
      <c r="B80" s="17" t="s">
        <v>433</v>
      </c>
      <c r="C80" s="17" t="s">
        <v>434</v>
      </c>
      <c r="D80" s="18">
        <v>4</v>
      </c>
      <c r="E80" s="17" t="str">
        <f>B80&amp;" Mastery "&amp;INDEX(Tiers!$B$2:$B$6,MATCH(D80,Tiers!$A$2:$A$6,0))</f>
        <v>Air Mastery 600</v>
      </c>
      <c r="F80" s="19" t="s">
        <v>515</v>
      </c>
      <c r="G80" s="17" t="s">
        <v>516</v>
      </c>
      <c r="H80" s="17" t="s">
        <v>487</v>
      </c>
      <c r="I80" s="17" t="s">
        <v>26</v>
      </c>
      <c r="J80" s="20" t="s">
        <v>517</v>
      </c>
      <c r="K80" s="17" t="s">
        <v>437</v>
      </c>
      <c r="L80" s="17" t="s">
        <v>518</v>
      </c>
      <c r="M80" s="19" t="s">
        <v>58</v>
      </c>
      <c r="N80" s="17" t="s">
        <v>519</v>
      </c>
      <c r="O80" s="21">
        <v>40</v>
      </c>
      <c r="P80" s="21">
        <v>25</v>
      </c>
      <c r="Q80" s="21">
        <v>2</v>
      </c>
      <c r="R80" s="21">
        <v>150</v>
      </c>
      <c r="S80" s="17" t="s">
        <v>520</v>
      </c>
      <c r="T80" s="17"/>
      <c r="U80" s="17" t="s">
        <v>985</v>
      </c>
      <c r="V80" s="17"/>
      <c r="W80" s="17"/>
      <c r="X80" s="17"/>
    </row>
    <row r="81" spans="1:24" ht="42.75" x14ac:dyDescent="0.25">
      <c r="A81" s="17" t="s">
        <v>521</v>
      </c>
      <c r="B81" s="17" t="s">
        <v>433</v>
      </c>
      <c r="C81" s="17" t="s">
        <v>442</v>
      </c>
      <c r="D81" s="18">
        <v>4</v>
      </c>
      <c r="E81" s="17" t="str">
        <f>B81&amp;" Mastery "&amp;INDEX(Tiers!$B$2:$B$6,MATCH(D81,Tiers!$A$2:$A$6,0))</f>
        <v>Air Mastery 600</v>
      </c>
      <c r="F81" s="19" t="s">
        <v>522</v>
      </c>
      <c r="G81" s="17" t="s">
        <v>403</v>
      </c>
      <c r="H81" s="17" t="s">
        <v>498</v>
      </c>
      <c r="I81" s="17" t="s">
        <v>26</v>
      </c>
      <c r="J81" s="20" t="s">
        <v>523</v>
      </c>
      <c r="K81" s="17" t="s">
        <v>437</v>
      </c>
      <c r="L81" s="17" t="s">
        <v>524</v>
      </c>
      <c r="M81" s="19" t="s">
        <v>30</v>
      </c>
      <c r="N81" s="17" t="s">
        <v>525</v>
      </c>
      <c r="O81" s="21">
        <v>30</v>
      </c>
      <c r="P81" s="21">
        <v>25</v>
      </c>
      <c r="Q81" s="21">
        <v>2</v>
      </c>
      <c r="R81" s="21">
        <v>150</v>
      </c>
      <c r="S81" s="17" t="s">
        <v>520</v>
      </c>
      <c r="T81" s="17"/>
      <c r="U81" s="17" t="s">
        <v>985</v>
      </c>
      <c r="V81" s="17"/>
      <c r="W81" s="17"/>
      <c r="X81" s="17"/>
    </row>
    <row r="82" spans="1:24" ht="42.75" x14ac:dyDescent="0.25">
      <c r="A82" s="17" t="s">
        <v>526</v>
      </c>
      <c r="B82" s="17" t="s">
        <v>433</v>
      </c>
      <c r="C82" s="17" t="s">
        <v>434</v>
      </c>
      <c r="D82" s="18">
        <v>4</v>
      </c>
      <c r="E82" s="17" t="str">
        <f>B82&amp;" Mastery "&amp;INDEX(Tiers!$B$2:$B$6,MATCH(D82,Tiers!$A$2:$A$6,0))</f>
        <v>Air Mastery 600</v>
      </c>
      <c r="F82" s="19" t="s">
        <v>527</v>
      </c>
      <c r="G82" s="17" t="s">
        <v>528</v>
      </c>
      <c r="H82" s="17" t="s">
        <v>529</v>
      </c>
      <c r="I82" s="17" t="s">
        <v>26</v>
      </c>
      <c r="J82" s="20" t="s">
        <v>530</v>
      </c>
      <c r="K82" s="17" t="s">
        <v>437</v>
      </c>
      <c r="L82" s="17" t="s">
        <v>531</v>
      </c>
      <c r="M82" s="19" t="s">
        <v>58</v>
      </c>
      <c r="N82" s="17" t="s">
        <v>400</v>
      </c>
      <c r="O82" s="21">
        <v>35</v>
      </c>
      <c r="P82" s="21">
        <v>25</v>
      </c>
      <c r="Q82" s="21">
        <v>2</v>
      </c>
      <c r="R82" s="21">
        <v>150</v>
      </c>
      <c r="S82" s="17" t="s">
        <v>520</v>
      </c>
      <c r="T82" s="17"/>
      <c r="U82" s="17" t="s">
        <v>985</v>
      </c>
      <c r="V82" s="17"/>
      <c r="W82" s="17"/>
      <c r="X82" s="17"/>
    </row>
    <row r="83" spans="1:24" ht="42.75" x14ac:dyDescent="0.25">
      <c r="A83" s="17" t="s">
        <v>532</v>
      </c>
      <c r="B83" s="17" t="s">
        <v>433</v>
      </c>
      <c r="C83" s="17" t="s">
        <v>442</v>
      </c>
      <c r="D83" s="18">
        <v>4</v>
      </c>
      <c r="E83" s="17" t="str">
        <f>B83&amp;" Mastery "&amp;INDEX(Tiers!$B$2:$B$6,MATCH(D83,Tiers!$A$2:$A$6,0))</f>
        <v>Air Mastery 600</v>
      </c>
      <c r="F83" s="19" t="s">
        <v>533</v>
      </c>
      <c r="G83" s="17" t="s">
        <v>516</v>
      </c>
      <c r="H83" s="17" t="s">
        <v>498</v>
      </c>
      <c r="I83" s="17" t="s">
        <v>26</v>
      </c>
      <c r="J83" s="20" t="s">
        <v>534</v>
      </c>
      <c r="K83" s="17" t="s">
        <v>437</v>
      </c>
      <c r="L83" s="17" t="s">
        <v>535</v>
      </c>
      <c r="M83" s="19" t="s">
        <v>50</v>
      </c>
      <c r="N83" s="17" t="s">
        <v>206</v>
      </c>
      <c r="O83" s="21">
        <v>35</v>
      </c>
      <c r="P83" s="21">
        <v>25</v>
      </c>
      <c r="Q83" s="21">
        <v>2</v>
      </c>
      <c r="R83" s="21">
        <v>150</v>
      </c>
      <c r="S83" s="17" t="s">
        <v>520</v>
      </c>
      <c r="T83" s="17"/>
      <c r="U83" s="17" t="s">
        <v>985</v>
      </c>
      <c r="V83" s="17"/>
      <c r="W83" s="17"/>
      <c r="X83" s="17"/>
    </row>
    <row r="84" spans="1:24" ht="42.75" x14ac:dyDescent="0.25">
      <c r="A84" s="17" t="s">
        <v>536</v>
      </c>
      <c r="B84" s="17" t="s">
        <v>433</v>
      </c>
      <c r="C84" s="17" t="s">
        <v>450</v>
      </c>
      <c r="D84" s="18">
        <v>4</v>
      </c>
      <c r="E84" s="17" t="str">
        <f>B84&amp;" Mastery "&amp;INDEX(Tiers!$B$2:$B$6,MATCH(D84,Tiers!$A$2:$A$6,0))</f>
        <v>Air Mastery 600</v>
      </c>
      <c r="F84" s="19" t="s">
        <v>537</v>
      </c>
      <c r="G84" s="17" t="s">
        <v>55</v>
      </c>
      <c r="H84" s="17" t="s">
        <v>510</v>
      </c>
      <c r="I84" s="17" t="s">
        <v>26</v>
      </c>
      <c r="J84" s="20" t="s">
        <v>538</v>
      </c>
      <c r="K84" s="17" t="s">
        <v>453</v>
      </c>
      <c r="L84" s="17" t="s">
        <v>539</v>
      </c>
      <c r="M84" s="19" t="s">
        <v>50</v>
      </c>
      <c r="N84" s="17" t="s">
        <v>51</v>
      </c>
      <c r="O84" s="21">
        <v>40</v>
      </c>
      <c r="P84" s="21">
        <v>25</v>
      </c>
      <c r="Q84" s="21">
        <v>2</v>
      </c>
      <c r="R84" s="21">
        <v>150</v>
      </c>
      <c r="S84" s="17" t="s">
        <v>520</v>
      </c>
      <c r="T84" s="17"/>
      <c r="U84" s="17" t="s">
        <v>985</v>
      </c>
      <c r="V84" s="17"/>
      <c r="W84" s="17"/>
      <c r="X84" s="17"/>
    </row>
    <row r="85" spans="1:24" ht="42.75" x14ac:dyDescent="0.25">
      <c r="A85" s="17" t="s">
        <v>540</v>
      </c>
      <c r="B85" s="17" t="s">
        <v>433</v>
      </c>
      <c r="C85" s="17" t="s">
        <v>450</v>
      </c>
      <c r="D85" s="18">
        <v>5</v>
      </c>
      <c r="E85" s="17" t="str">
        <f>B85&amp;" Mastery "&amp;INDEX(Tiers!$B$2:$B$6,MATCH(D85,Tiers!$A$2:$A$6,0))</f>
        <v>Air Mastery 900</v>
      </c>
      <c r="F85" s="19" t="s">
        <v>541</v>
      </c>
      <c r="G85" s="17" t="s">
        <v>542</v>
      </c>
      <c r="H85" s="17" t="s">
        <v>537</v>
      </c>
      <c r="I85" s="17" t="s">
        <v>26</v>
      </c>
      <c r="J85" s="20" t="s">
        <v>543</v>
      </c>
      <c r="K85" s="17" t="s">
        <v>453</v>
      </c>
      <c r="L85" s="17" t="s">
        <v>544</v>
      </c>
      <c r="M85" s="19" t="s">
        <v>50</v>
      </c>
      <c r="N85" s="17" t="s">
        <v>545</v>
      </c>
      <c r="O85" s="21">
        <v>90</v>
      </c>
      <c r="P85" s="21">
        <v>50</v>
      </c>
      <c r="Q85" s="21">
        <v>10</v>
      </c>
      <c r="R85" s="21">
        <v>200</v>
      </c>
      <c r="S85" s="17" t="s">
        <v>546</v>
      </c>
      <c r="T85" s="17"/>
      <c r="U85" s="17" t="s">
        <v>985</v>
      </c>
      <c r="V85" s="17"/>
      <c r="W85" s="17"/>
      <c r="X85" s="17"/>
    </row>
    <row r="86" spans="1:24" ht="42.75" x14ac:dyDescent="0.25">
      <c r="A86" s="17" t="s">
        <v>547</v>
      </c>
      <c r="B86" s="17" t="s">
        <v>433</v>
      </c>
      <c r="C86" s="17" t="s">
        <v>434</v>
      </c>
      <c r="D86" s="18">
        <v>5</v>
      </c>
      <c r="E86" s="17" t="str">
        <f>B86&amp;" Mastery "&amp;INDEX(Tiers!$B$2:$B$6,MATCH(D86,Tiers!$A$2:$A$6,0))</f>
        <v>Air Mastery 900</v>
      </c>
      <c r="F86" s="19" t="s">
        <v>548</v>
      </c>
      <c r="G86" s="17" t="s">
        <v>516</v>
      </c>
      <c r="H86" s="17" t="s">
        <v>549</v>
      </c>
      <c r="I86" s="17" t="s">
        <v>26</v>
      </c>
      <c r="J86" s="20" t="s">
        <v>550</v>
      </c>
      <c r="K86" s="17" t="s">
        <v>437</v>
      </c>
      <c r="L86" s="17" t="s">
        <v>551</v>
      </c>
      <c r="M86" s="19" t="s">
        <v>58</v>
      </c>
      <c r="N86" s="17" t="s">
        <v>552</v>
      </c>
      <c r="O86" s="21">
        <v>120</v>
      </c>
      <c r="P86" s="21">
        <v>50</v>
      </c>
      <c r="Q86" s="21">
        <v>10</v>
      </c>
      <c r="R86" s="21">
        <v>200</v>
      </c>
      <c r="S86" s="17" t="s">
        <v>546</v>
      </c>
      <c r="T86" s="17"/>
      <c r="U86" s="17" t="s">
        <v>985</v>
      </c>
      <c r="V86" s="17"/>
      <c r="W86" s="17"/>
      <c r="X86" s="17"/>
    </row>
    <row r="87" spans="1:24" ht="42.75" x14ac:dyDescent="0.25">
      <c r="A87" s="22" t="s">
        <v>553</v>
      </c>
      <c r="B87" s="22" t="s">
        <v>554</v>
      </c>
      <c r="C87" s="22" t="s">
        <v>555</v>
      </c>
      <c r="D87" s="23">
        <v>1</v>
      </c>
      <c r="E87" s="22" t="str">
        <f>B87&amp;" Mastery "&amp;INDEX(Tiers!$B$2:$B$6,MATCH(D87,Tiers!$A$2:$A$6,0))</f>
        <v>Sword Mastery 0</v>
      </c>
      <c r="F87" s="24" t="s">
        <v>556</v>
      </c>
      <c r="G87" s="22" t="s">
        <v>24</v>
      </c>
      <c r="H87" s="22" t="s">
        <v>25</v>
      </c>
      <c r="I87" s="22" t="s">
        <v>554</v>
      </c>
      <c r="J87" s="25" t="s">
        <v>557</v>
      </c>
      <c r="K87" s="22" t="s">
        <v>558</v>
      </c>
      <c r="L87" s="22" t="s">
        <v>559</v>
      </c>
      <c r="M87" s="24" t="s">
        <v>30</v>
      </c>
      <c r="N87" s="22" t="s">
        <v>560</v>
      </c>
      <c r="O87" s="26">
        <v>2</v>
      </c>
      <c r="P87" s="26">
        <v>5</v>
      </c>
      <c r="Q87" s="26">
        <v>0.2</v>
      </c>
      <c r="R87" s="26">
        <v>50</v>
      </c>
      <c r="S87" s="22" t="s">
        <v>561</v>
      </c>
      <c r="T87" s="22"/>
      <c r="U87" s="22" t="s">
        <v>967</v>
      </c>
      <c r="V87" s="22">
        <v>1</v>
      </c>
      <c r="W87" s="22" t="s">
        <v>1010</v>
      </c>
      <c r="X87" s="22" t="s">
        <v>1011</v>
      </c>
    </row>
    <row r="88" spans="1:24" ht="42.75" x14ac:dyDescent="0.25">
      <c r="A88" s="22" t="s">
        <v>562</v>
      </c>
      <c r="B88" s="22" t="s">
        <v>554</v>
      </c>
      <c r="C88" s="22" t="s">
        <v>555</v>
      </c>
      <c r="D88" s="23">
        <v>1</v>
      </c>
      <c r="E88" s="22" t="str">
        <f>B88&amp;" Mastery "&amp;INDEX(Tiers!$B$2:$B$6,MATCH(D88,Tiers!$A$2:$A$6,0))</f>
        <v>Sword Mastery 0</v>
      </c>
      <c r="F88" s="24" t="s">
        <v>563</v>
      </c>
      <c r="G88" s="22" t="s">
        <v>24</v>
      </c>
      <c r="H88" s="22" t="s">
        <v>25</v>
      </c>
      <c r="I88" s="22" t="s">
        <v>554</v>
      </c>
      <c r="J88" s="25" t="s">
        <v>564</v>
      </c>
      <c r="K88" s="22" t="s">
        <v>558</v>
      </c>
      <c r="L88" s="22" t="s">
        <v>565</v>
      </c>
      <c r="M88" s="24" t="s">
        <v>43</v>
      </c>
      <c r="N88" s="22" t="s">
        <v>566</v>
      </c>
      <c r="O88" s="26">
        <v>4</v>
      </c>
      <c r="P88" s="26">
        <v>5</v>
      </c>
      <c r="Q88" s="26">
        <v>0.2</v>
      </c>
      <c r="R88" s="26">
        <v>50</v>
      </c>
      <c r="S88" s="22" t="s">
        <v>561</v>
      </c>
      <c r="T88" s="22"/>
      <c r="U88" s="22" t="s">
        <v>985</v>
      </c>
      <c r="V88" s="22"/>
      <c r="W88" s="22"/>
      <c r="X88" s="22"/>
    </row>
    <row r="89" spans="1:24" ht="42.75" x14ac:dyDescent="0.25">
      <c r="A89" s="22" t="s">
        <v>567</v>
      </c>
      <c r="B89" s="22" t="s">
        <v>554</v>
      </c>
      <c r="C89" s="22" t="s">
        <v>568</v>
      </c>
      <c r="D89" s="23">
        <v>1</v>
      </c>
      <c r="E89" s="22" t="str">
        <f>B89&amp;" Mastery "&amp;INDEX(Tiers!$B$2:$B$6,MATCH(D89,Tiers!$A$2:$A$6,0))</f>
        <v>Sword Mastery 0</v>
      </c>
      <c r="F89" s="24" t="s">
        <v>569</v>
      </c>
      <c r="G89" s="22" t="s">
        <v>570</v>
      </c>
      <c r="H89" s="22" t="s">
        <v>25</v>
      </c>
      <c r="I89" s="22" t="s">
        <v>554</v>
      </c>
      <c r="J89" s="25" t="s">
        <v>571</v>
      </c>
      <c r="K89" s="22" t="s">
        <v>572</v>
      </c>
      <c r="L89" s="22" t="s">
        <v>573</v>
      </c>
      <c r="M89" s="24" t="s">
        <v>50</v>
      </c>
      <c r="N89" s="22" t="s">
        <v>574</v>
      </c>
      <c r="O89" s="26">
        <v>8</v>
      </c>
      <c r="P89" s="26">
        <v>5</v>
      </c>
      <c r="Q89" s="26">
        <v>0.2</v>
      </c>
      <c r="R89" s="26">
        <v>50</v>
      </c>
      <c r="S89" s="22" t="s">
        <v>561</v>
      </c>
      <c r="T89" s="22"/>
      <c r="U89" s="22" t="s">
        <v>985</v>
      </c>
      <c r="V89" s="22"/>
      <c r="W89" s="22"/>
      <c r="X89" s="22"/>
    </row>
    <row r="90" spans="1:24" ht="42.75" x14ac:dyDescent="0.25">
      <c r="A90" s="22" t="s">
        <v>575</v>
      </c>
      <c r="B90" s="22" t="s">
        <v>554</v>
      </c>
      <c r="C90" s="22" t="s">
        <v>576</v>
      </c>
      <c r="D90" s="23">
        <v>1</v>
      </c>
      <c r="E90" s="22" t="str">
        <f>B90&amp;" Mastery "&amp;INDEX(Tiers!$B$2:$B$6,MATCH(D90,Tiers!$A$2:$A$6,0))</f>
        <v>Sword Mastery 0</v>
      </c>
      <c r="F90" s="24" t="s">
        <v>577</v>
      </c>
      <c r="G90" s="22" t="s">
        <v>482</v>
      </c>
      <c r="H90" s="22" t="s">
        <v>25</v>
      </c>
      <c r="I90" s="22" t="s">
        <v>554</v>
      </c>
      <c r="J90" s="25" t="s">
        <v>578</v>
      </c>
      <c r="K90" s="22" t="s">
        <v>558</v>
      </c>
      <c r="L90" s="22" t="s">
        <v>579</v>
      </c>
      <c r="M90" s="24" t="s">
        <v>30</v>
      </c>
      <c r="N90" s="22" t="s">
        <v>580</v>
      </c>
      <c r="O90" s="26">
        <v>8</v>
      </c>
      <c r="P90" s="26">
        <v>5</v>
      </c>
      <c r="Q90" s="26">
        <v>0.2</v>
      </c>
      <c r="R90" s="26">
        <v>50</v>
      </c>
      <c r="S90" s="22" t="s">
        <v>561</v>
      </c>
      <c r="T90" s="22"/>
      <c r="U90" s="22" t="s">
        <v>970</v>
      </c>
      <c r="V90" s="22" t="s">
        <v>975</v>
      </c>
      <c r="W90" s="22"/>
      <c r="X90" s="22" t="s">
        <v>1012</v>
      </c>
    </row>
    <row r="91" spans="1:24" ht="42.75" x14ac:dyDescent="0.25">
      <c r="A91" s="22" t="s">
        <v>581</v>
      </c>
      <c r="B91" s="22" t="s">
        <v>554</v>
      </c>
      <c r="C91" s="22" t="s">
        <v>555</v>
      </c>
      <c r="D91" s="23">
        <v>2</v>
      </c>
      <c r="E91" s="22" t="str">
        <f>B91&amp;" Mastery "&amp;INDEX(Tiers!$B$2:$B$6,MATCH(D91,Tiers!$A$2:$A$6,0))</f>
        <v>Sword Mastery 150</v>
      </c>
      <c r="F91" s="24" t="s">
        <v>582</v>
      </c>
      <c r="G91" s="22" t="s">
        <v>24</v>
      </c>
      <c r="H91" s="22" t="s">
        <v>556</v>
      </c>
      <c r="I91" s="22" t="s">
        <v>554</v>
      </c>
      <c r="J91" s="25" t="s">
        <v>583</v>
      </c>
      <c r="K91" s="22" t="s">
        <v>558</v>
      </c>
      <c r="L91" s="22" t="s">
        <v>584</v>
      </c>
      <c r="M91" s="24" t="s">
        <v>30</v>
      </c>
      <c r="N91" s="22" t="s">
        <v>560</v>
      </c>
      <c r="O91" s="26">
        <v>5</v>
      </c>
      <c r="P91" s="26">
        <v>10</v>
      </c>
      <c r="Q91" s="26">
        <v>0.3</v>
      </c>
      <c r="R91" s="26">
        <v>70</v>
      </c>
      <c r="S91" s="22" t="s">
        <v>585</v>
      </c>
      <c r="T91" s="22"/>
      <c r="U91" s="22" t="s">
        <v>985</v>
      </c>
      <c r="V91" s="22"/>
      <c r="W91" s="22"/>
      <c r="X91" s="22"/>
    </row>
    <row r="92" spans="1:24" ht="42.75" x14ac:dyDescent="0.25">
      <c r="A92" s="22" t="s">
        <v>586</v>
      </c>
      <c r="B92" s="22" t="s">
        <v>554</v>
      </c>
      <c r="C92" s="22" t="s">
        <v>568</v>
      </c>
      <c r="D92" s="23">
        <v>2</v>
      </c>
      <c r="E92" s="22" t="str">
        <f>B92&amp;" Mastery "&amp;INDEX(Tiers!$B$2:$B$6,MATCH(D92,Tiers!$A$2:$A$6,0))</f>
        <v>Sword Mastery 150</v>
      </c>
      <c r="F92" s="24" t="s">
        <v>587</v>
      </c>
      <c r="G92" s="22" t="s">
        <v>141</v>
      </c>
      <c r="H92" s="22" t="s">
        <v>569</v>
      </c>
      <c r="I92" s="22" t="s">
        <v>554</v>
      </c>
      <c r="J92" s="25" t="s">
        <v>588</v>
      </c>
      <c r="K92" s="22" t="s">
        <v>558</v>
      </c>
      <c r="L92" s="22" t="s">
        <v>589</v>
      </c>
      <c r="M92" s="24" t="s">
        <v>50</v>
      </c>
      <c r="N92" s="22" t="s">
        <v>590</v>
      </c>
      <c r="O92" s="26">
        <v>10</v>
      </c>
      <c r="P92" s="26">
        <v>10</v>
      </c>
      <c r="Q92" s="26">
        <v>0.6</v>
      </c>
      <c r="R92" s="26">
        <v>70</v>
      </c>
      <c r="S92" s="22" t="s">
        <v>591</v>
      </c>
      <c r="T92" s="22"/>
      <c r="U92" s="22" t="s">
        <v>985</v>
      </c>
      <c r="V92" s="22"/>
      <c r="W92" s="22"/>
      <c r="X92" s="22"/>
    </row>
    <row r="93" spans="1:24" ht="42.75" x14ac:dyDescent="0.25">
      <c r="A93" s="22" t="s">
        <v>592</v>
      </c>
      <c r="B93" s="22" t="s">
        <v>554</v>
      </c>
      <c r="C93" s="22" t="s">
        <v>555</v>
      </c>
      <c r="D93" s="23">
        <v>2</v>
      </c>
      <c r="E93" s="22" t="str">
        <f>B93&amp;" Mastery "&amp;INDEX(Tiers!$B$2:$B$6,MATCH(D93,Tiers!$A$2:$A$6,0))</f>
        <v>Sword Mastery 150</v>
      </c>
      <c r="F93" s="24" t="s">
        <v>593</v>
      </c>
      <c r="G93" s="22" t="s">
        <v>594</v>
      </c>
      <c r="H93" s="22" t="s">
        <v>556</v>
      </c>
      <c r="I93" s="22" t="s">
        <v>554</v>
      </c>
      <c r="J93" s="25" t="s">
        <v>595</v>
      </c>
      <c r="K93" s="22" t="s">
        <v>558</v>
      </c>
      <c r="L93" s="22" t="s">
        <v>596</v>
      </c>
      <c r="M93" s="24" t="s">
        <v>30</v>
      </c>
      <c r="N93" s="22" t="s">
        <v>560</v>
      </c>
      <c r="O93" s="26">
        <v>8</v>
      </c>
      <c r="P93" s="26">
        <v>10</v>
      </c>
      <c r="Q93" s="26">
        <v>0.3</v>
      </c>
      <c r="R93" s="26">
        <v>70</v>
      </c>
      <c r="S93" s="22" t="s">
        <v>585</v>
      </c>
      <c r="T93" s="22"/>
      <c r="U93" s="22" t="s">
        <v>985</v>
      </c>
      <c r="V93" s="22"/>
      <c r="W93" s="22"/>
      <c r="X93" s="22"/>
    </row>
    <row r="94" spans="1:24" ht="42.75" x14ac:dyDescent="0.25">
      <c r="A94" s="22" t="s">
        <v>597</v>
      </c>
      <c r="B94" s="22" t="s">
        <v>554</v>
      </c>
      <c r="C94" s="22" t="s">
        <v>555</v>
      </c>
      <c r="D94" s="23">
        <v>2</v>
      </c>
      <c r="E94" s="22" t="str">
        <f>B94&amp;" Mastery "&amp;INDEX(Tiers!$B$2:$B$6,MATCH(D94,Tiers!$A$2:$A$6,0))</f>
        <v>Sword Mastery 150</v>
      </c>
      <c r="F94" s="24" t="s">
        <v>598</v>
      </c>
      <c r="G94" s="22" t="s">
        <v>24</v>
      </c>
      <c r="H94" s="22" t="s">
        <v>563</v>
      </c>
      <c r="I94" s="22" t="s">
        <v>554</v>
      </c>
      <c r="J94" s="25" t="s">
        <v>599</v>
      </c>
      <c r="K94" s="22" t="s">
        <v>558</v>
      </c>
      <c r="L94" s="22" t="s">
        <v>600</v>
      </c>
      <c r="M94" s="24" t="s">
        <v>43</v>
      </c>
      <c r="N94" s="22" t="s">
        <v>601</v>
      </c>
      <c r="O94" s="26">
        <v>8</v>
      </c>
      <c r="P94" s="26">
        <v>10</v>
      </c>
      <c r="Q94" s="26">
        <v>0.3</v>
      </c>
      <c r="R94" s="26">
        <v>70</v>
      </c>
      <c r="S94" s="22" t="s">
        <v>585</v>
      </c>
      <c r="T94" s="22"/>
      <c r="U94" s="22" t="s">
        <v>985</v>
      </c>
      <c r="V94" s="22"/>
      <c r="W94" s="22"/>
      <c r="X94" s="22"/>
    </row>
    <row r="95" spans="1:24" ht="42.75" x14ac:dyDescent="0.25">
      <c r="A95" s="22" t="s">
        <v>602</v>
      </c>
      <c r="B95" s="22" t="s">
        <v>554</v>
      </c>
      <c r="C95" s="22" t="s">
        <v>576</v>
      </c>
      <c r="D95" s="23">
        <v>2</v>
      </c>
      <c r="E95" s="22" t="str">
        <f>B95&amp;" Mastery "&amp;INDEX(Tiers!$B$2:$B$6,MATCH(D95,Tiers!$A$2:$A$6,0))</f>
        <v>Sword Mastery 150</v>
      </c>
      <c r="F95" s="24" t="s">
        <v>603</v>
      </c>
      <c r="G95" s="22" t="s">
        <v>102</v>
      </c>
      <c r="H95" s="22" t="s">
        <v>577</v>
      </c>
      <c r="I95" s="22" t="s">
        <v>554</v>
      </c>
      <c r="J95" s="25" t="s">
        <v>604</v>
      </c>
      <c r="K95" s="22" t="s">
        <v>605</v>
      </c>
      <c r="L95" s="22" t="s">
        <v>606</v>
      </c>
      <c r="M95" s="24" t="s">
        <v>30</v>
      </c>
      <c r="N95" s="22" t="s">
        <v>560</v>
      </c>
      <c r="O95" s="26">
        <v>12</v>
      </c>
      <c r="P95" s="26">
        <v>10</v>
      </c>
      <c r="Q95" s="26">
        <v>0.6</v>
      </c>
      <c r="R95" s="26">
        <v>70</v>
      </c>
      <c r="S95" s="22" t="s">
        <v>591</v>
      </c>
      <c r="T95" s="22"/>
      <c r="U95" s="22" t="s">
        <v>985</v>
      </c>
      <c r="V95" s="22"/>
      <c r="W95" s="22"/>
      <c r="X95" s="22"/>
    </row>
    <row r="96" spans="1:24" ht="42.75" x14ac:dyDescent="0.25">
      <c r="A96" s="22" t="s">
        <v>607</v>
      </c>
      <c r="B96" s="22" t="s">
        <v>554</v>
      </c>
      <c r="C96" s="22" t="s">
        <v>555</v>
      </c>
      <c r="D96" s="23">
        <v>3</v>
      </c>
      <c r="E96" s="22" t="str">
        <f>B96&amp;" Mastery "&amp;INDEX(Tiers!$B$2:$B$6,MATCH(D96,Tiers!$A$2:$A$6,0))</f>
        <v>Sword Mastery 350</v>
      </c>
      <c r="F96" s="24" t="s">
        <v>608</v>
      </c>
      <c r="G96" s="22" t="s">
        <v>24</v>
      </c>
      <c r="H96" s="22" t="s">
        <v>582</v>
      </c>
      <c r="I96" s="22" t="s">
        <v>554</v>
      </c>
      <c r="J96" s="25" t="s">
        <v>609</v>
      </c>
      <c r="K96" s="22" t="s">
        <v>558</v>
      </c>
      <c r="L96" s="22" t="s">
        <v>610</v>
      </c>
      <c r="M96" s="24" t="s">
        <v>30</v>
      </c>
      <c r="N96" s="22" t="s">
        <v>611</v>
      </c>
      <c r="O96" s="26">
        <v>12</v>
      </c>
      <c r="P96" s="26">
        <v>15</v>
      </c>
      <c r="Q96" s="26">
        <v>0.8</v>
      </c>
      <c r="R96" s="26">
        <v>100</v>
      </c>
      <c r="S96" s="22" t="s">
        <v>612</v>
      </c>
      <c r="T96" s="22"/>
      <c r="U96" s="22" t="s">
        <v>985</v>
      </c>
      <c r="V96" s="22"/>
      <c r="W96" s="22"/>
      <c r="X96" s="22"/>
    </row>
    <row r="97" spans="1:24" ht="42.75" x14ac:dyDescent="0.25">
      <c r="A97" s="22" t="s">
        <v>613</v>
      </c>
      <c r="B97" s="22" t="s">
        <v>554</v>
      </c>
      <c r="C97" s="22" t="s">
        <v>568</v>
      </c>
      <c r="D97" s="23">
        <v>3</v>
      </c>
      <c r="E97" s="22" t="str">
        <f>B97&amp;" Mastery "&amp;INDEX(Tiers!$B$2:$B$6,MATCH(D97,Tiers!$A$2:$A$6,0))</f>
        <v>Sword Mastery 350</v>
      </c>
      <c r="F97" s="24" t="s">
        <v>614</v>
      </c>
      <c r="G97" s="22" t="s">
        <v>102</v>
      </c>
      <c r="H97" s="22" t="s">
        <v>587</v>
      </c>
      <c r="I97" s="22" t="s">
        <v>554</v>
      </c>
      <c r="J97" s="25" t="s">
        <v>615</v>
      </c>
      <c r="K97" s="22" t="s">
        <v>605</v>
      </c>
      <c r="L97" s="22" t="s">
        <v>616</v>
      </c>
      <c r="M97" s="24" t="s">
        <v>30</v>
      </c>
      <c r="N97" s="22" t="s">
        <v>560</v>
      </c>
      <c r="O97" s="26">
        <v>18</v>
      </c>
      <c r="P97" s="26">
        <v>15</v>
      </c>
      <c r="Q97" s="26">
        <v>0.8</v>
      </c>
      <c r="R97" s="26">
        <v>100</v>
      </c>
      <c r="S97" s="22" t="s">
        <v>612</v>
      </c>
      <c r="T97" s="22"/>
      <c r="U97" s="22" t="s">
        <v>985</v>
      </c>
      <c r="V97" s="22"/>
      <c r="W97" s="22"/>
      <c r="X97" s="22"/>
    </row>
    <row r="98" spans="1:24" ht="42.75" x14ac:dyDescent="0.25">
      <c r="A98" s="22" t="s">
        <v>617</v>
      </c>
      <c r="B98" s="22" t="s">
        <v>554</v>
      </c>
      <c r="C98" s="22" t="s">
        <v>555</v>
      </c>
      <c r="D98" s="23">
        <v>3</v>
      </c>
      <c r="E98" s="22" t="str">
        <f>B98&amp;" Mastery "&amp;INDEX(Tiers!$B$2:$B$6,MATCH(D98,Tiers!$A$2:$A$6,0))</f>
        <v>Sword Mastery 350</v>
      </c>
      <c r="F98" s="24" t="s">
        <v>618</v>
      </c>
      <c r="G98" s="22" t="s">
        <v>128</v>
      </c>
      <c r="H98" s="22" t="s">
        <v>593</v>
      </c>
      <c r="I98" s="22" t="s">
        <v>554</v>
      </c>
      <c r="J98" s="25" t="s">
        <v>619</v>
      </c>
      <c r="K98" s="22" t="s">
        <v>558</v>
      </c>
      <c r="L98" s="22" t="s">
        <v>620</v>
      </c>
      <c r="M98" s="24" t="s">
        <v>30</v>
      </c>
      <c r="N98" s="22" t="s">
        <v>621</v>
      </c>
      <c r="O98" s="26">
        <v>15</v>
      </c>
      <c r="P98" s="26">
        <v>15</v>
      </c>
      <c r="Q98" s="26">
        <v>0.8</v>
      </c>
      <c r="R98" s="26">
        <v>100</v>
      </c>
      <c r="S98" s="22" t="s">
        <v>612</v>
      </c>
      <c r="T98" s="22"/>
      <c r="U98" s="22" t="s">
        <v>985</v>
      </c>
      <c r="V98" s="22"/>
      <c r="W98" s="22"/>
      <c r="X98" s="22"/>
    </row>
    <row r="99" spans="1:24" ht="42.75" x14ac:dyDescent="0.25">
      <c r="A99" s="22" t="s">
        <v>622</v>
      </c>
      <c r="B99" s="22" t="s">
        <v>554</v>
      </c>
      <c r="C99" s="22" t="s">
        <v>576</v>
      </c>
      <c r="D99" s="23">
        <v>3</v>
      </c>
      <c r="E99" s="22" t="str">
        <f>B99&amp;" Mastery "&amp;INDEX(Tiers!$B$2:$B$6,MATCH(D99,Tiers!$A$2:$A$6,0))</f>
        <v>Sword Mastery 350</v>
      </c>
      <c r="F99" s="24" t="s">
        <v>623</v>
      </c>
      <c r="G99" s="22" t="s">
        <v>482</v>
      </c>
      <c r="H99" s="22" t="s">
        <v>603</v>
      </c>
      <c r="I99" s="22" t="s">
        <v>554</v>
      </c>
      <c r="J99" s="25" t="s">
        <v>624</v>
      </c>
      <c r="K99" s="22" t="s">
        <v>558</v>
      </c>
      <c r="L99" s="22" t="s">
        <v>625</v>
      </c>
      <c r="M99" s="24" t="s">
        <v>58</v>
      </c>
      <c r="N99" s="22" t="s">
        <v>626</v>
      </c>
      <c r="O99" s="26">
        <v>14</v>
      </c>
      <c r="P99" s="26">
        <v>15</v>
      </c>
      <c r="Q99" s="26">
        <v>0.8</v>
      </c>
      <c r="R99" s="26">
        <v>100</v>
      </c>
      <c r="S99" s="22" t="s">
        <v>612</v>
      </c>
      <c r="T99" s="22"/>
      <c r="U99" s="22" t="s">
        <v>985</v>
      </c>
      <c r="V99" s="22"/>
      <c r="W99" s="22"/>
      <c r="X99" s="22"/>
    </row>
    <row r="100" spans="1:24" ht="42.75" x14ac:dyDescent="0.25">
      <c r="A100" s="22" t="s">
        <v>627</v>
      </c>
      <c r="B100" s="22" t="s">
        <v>554</v>
      </c>
      <c r="C100" s="22" t="s">
        <v>568</v>
      </c>
      <c r="D100" s="23">
        <v>3</v>
      </c>
      <c r="E100" s="22" t="str">
        <f>B100&amp;" Mastery "&amp;INDEX(Tiers!$B$2:$B$6,MATCH(D100,Tiers!$A$2:$A$6,0))</f>
        <v>Sword Mastery 350</v>
      </c>
      <c r="F100" s="24" t="s">
        <v>628</v>
      </c>
      <c r="G100" s="22" t="s">
        <v>47</v>
      </c>
      <c r="H100" s="22" t="s">
        <v>569</v>
      </c>
      <c r="I100" s="22" t="s">
        <v>554</v>
      </c>
      <c r="J100" s="25" t="s">
        <v>629</v>
      </c>
      <c r="K100" s="22" t="s">
        <v>630</v>
      </c>
      <c r="L100" s="22" t="s">
        <v>631</v>
      </c>
      <c r="M100" s="24" t="s">
        <v>50</v>
      </c>
      <c r="N100" s="22" t="s">
        <v>51</v>
      </c>
      <c r="O100" s="26">
        <v>25</v>
      </c>
      <c r="P100" s="26">
        <v>15</v>
      </c>
      <c r="Q100" s="26">
        <v>0.8</v>
      </c>
      <c r="R100" s="26">
        <v>100</v>
      </c>
      <c r="S100" s="22" t="s">
        <v>612</v>
      </c>
      <c r="T100" s="22"/>
      <c r="U100" s="22" t="s">
        <v>985</v>
      </c>
      <c r="V100" s="22"/>
      <c r="W100" s="22"/>
      <c r="X100" s="22"/>
    </row>
    <row r="101" spans="1:24" ht="42.75" x14ac:dyDescent="0.25">
      <c r="A101" s="22" t="s">
        <v>632</v>
      </c>
      <c r="B101" s="22" t="s">
        <v>554</v>
      </c>
      <c r="C101" s="22" t="s">
        <v>555</v>
      </c>
      <c r="D101" s="23">
        <v>4</v>
      </c>
      <c r="E101" s="22" t="str">
        <f>B101&amp;" Mastery "&amp;INDEX(Tiers!$B$2:$B$6,MATCH(D101,Tiers!$A$2:$A$6,0))</f>
        <v>Sword Mastery 600</v>
      </c>
      <c r="F101" s="24" t="s">
        <v>633</v>
      </c>
      <c r="G101" s="22" t="s">
        <v>128</v>
      </c>
      <c r="H101" s="22" t="s">
        <v>608</v>
      </c>
      <c r="I101" s="22" t="s">
        <v>554</v>
      </c>
      <c r="J101" s="25" t="s">
        <v>634</v>
      </c>
      <c r="K101" s="22" t="s">
        <v>558</v>
      </c>
      <c r="L101" s="22" t="s">
        <v>635</v>
      </c>
      <c r="M101" s="24" t="s">
        <v>30</v>
      </c>
      <c r="N101" s="22" t="s">
        <v>636</v>
      </c>
      <c r="O101" s="26">
        <v>25</v>
      </c>
      <c r="P101" s="26">
        <v>25</v>
      </c>
      <c r="Q101" s="26">
        <v>1</v>
      </c>
      <c r="R101" s="26">
        <v>150</v>
      </c>
      <c r="S101" s="22" t="s">
        <v>637</v>
      </c>
      <c r="T101" s="22"/>
      <c r="U101" s="22" t="s">
        <v>985</v>
      </c>
      <c r="V101" s="22"/>
      <c r="W101" s="22"/>
      <c r="X101" s="22"/>
    </row>
    <row r="102" spans="1:24" ht="42.75" x14ac:dyDescent="0.25">
      <c r="A102" s="22" t="s">
        <v>638</v>
      </c>
      <c r="B102" s="22" t="s">
        <v>554</v>
      </c>
      <c r="C102" s="22" t="s">
        <v>568</v>
      </c>
      <c r="D102" s="23">
        <v>4</v>
      </c>
      <c r="E102" s="22" t="str">
        <f>B102&amp;" Mastery "&amp;INDEX(Tiers!$B$2:$B$6,MATCH(D102,Tiers!$A$2:$A$6,0))</f>
        <v>Sword Mastery 600</v>
      </c>
      <c r="F102" s="24" t="s">
        <v>639</v>
      </c>
      <c r="G102" s="22" t="s">
        <v>141</v>
      </c>
      <c r="H102" s="22" t="s">
        <v>614</v>
      </c>
      <c r="I102" s="22" t="s">
        <v>554</v>
      </c>
      <c r="J102" s="25" t="s">
        <v>640</v>
      </c>
      <c r="K102" s="22" t="s">
        <v>558</v>
      </c>
      <c r="L102" s="22" t="s">
        <v>641</v>
      </c>
      <c r="M102" s="24" t="s">
        <v>50</v>
      </c>
      <c r="N102" s="22" t="s">
        <v>642</v>
      </c>
      <c r="O102" s="26">
        <v>30</v>
      </c>
      <c r="P102" s="26">
        <v>25</v>
      </c>
      <c r="Q102" s="26">
        <v>2</v>
      </c>
      <c r="R102" s="26">
        <v>150</v>
      </c>
      <c r="S102" s="22" t="s">
        <v>643</v>
      </c>
      <c r="T102" s="22"/>
      <c r="U102" s="22" t="s">
        <v>985</v>
      </c>
      <c r="V102" s="22"/>
      <c r="W102" s="22"/>
      <c r="X102" s="22"/>
    </row>
    <row r="103" spans="1:24" ht="42.75" x14ac:dyDescent="0.25">
      <c r="A103" s="22" t="s">
        <v>644</v>
      </c>
      <c r="B103" s="22" t="s">
        <v>554</v>
      </c>
      <c r="C103" s="22" t="s">
        <v>576</v>
      </c>
      <c r="D103" s="23">
        <v>4</v>
      </c>
      <c r="E103" s="22" t="str">
        <f>B103&amp;" Mastery "&amp;INDEX(Tiers!$B$2:$B$6,MATCH(D103,Tiers!$A$2:$A$6,0))</f>
        <v>Sword Mastery 600</v>
      </c>
      <c r="F103" s="24" t="s">
        <v>645</v>
      </c>
      <c r="G103" s="22" t="s">
        <v>55</v>
      </c>
      <c r="H103" s="22" t="s">
        <v>623</v>
      </c>
      <c r="I103" s="22" t="s">
        <v>554</v>
      </c>
      <c r="J103" s="25" t="s">
        <v>646</v>
      </c>
      <c r="K103" s="22" t="s">
        <v>605</v>
      </c>
      <c r="L103" s="22" t="s">
        <v>647</v>
      </c>
      <c r="M103" s="24" t="s">
        <v>30</v>
      </c>
      <c r="N103" s="22" t="s">
        <v>648</v>
      </c>
      <c r="O103" s="26">
        <v>20</v>
      </c>
      <c r="P103" s="26">
        <v>25</v>
      </c>
      <c r="Q103" s="26">
        <v>1</v>
      </c>
      <c r="R103" s="26">
        <v>150</v>
      </c>
      <c r="S103" s="22" t="s">
        <v>637</v>
      </c>
      <c r="T103" s="22"/>
      <c r="U103" s="22" t="s">
        <v>985</v>
      </c>
      <c r="V103" s="22"/>
      <c r="W103" s="22"/>
      <c r="X103" s="22"/>
    </row>
    <row r="104" spans="1:24" ht="42.75" x14ac:dyDescent="0.25">
      <c r="A104" s="22" t="s">
        <v>649</v>
      </c>
      <c r="B104" s="22" t="s">
        <v>554</v>
      </c>
      <c r="C104" s="22" t="s">
        <v>555</v>
      </c>
      <c r="D104" s="23">
        <v>4</v>
      </c>
      <c r="E104" s="22" t="str">
        <f>B104&amp;" Mastery "&amp;INDEX(Tiers!$B$2:$B$6,MATCH(D104,Tiers!$A$2:$A$6,0))</f>
        <v>Sword Mastery 600</v>
      </c>
      <c r="F104" s="24" t="s">
        <v>650</v>
      </c>
      <c r="G104" s="22" t="s">
        <v>47</v>
      </c>
      <c r="H104" s="22" t="s">
        <v>651</v>
      </c>
      <c r="I104" s="22" t="s">
        <v>554</v>
      </c>
      <c r="J104" s="25" t="s">
        <v>652</v>
      </c>
      <c r="K104" s="22" t="s">
        <v>558</v>
      </c>
      <c r="L104" s="22" t="s">
        <v>653</v>
      </c>
      <c r="M104" s="24" t="s">
        <v>50</v>
      </c>
      <c r="N104" s="22" t="s">
        <v>51</v>
      </c>
      <c r="O104" s="26">
        <v>30</v>
      </c>
      <c r="P104" s="26">
        <v>25</v>
      </c>
      <c r="Q104" s="26">
        <v>2</v>
      </c>
      <c r="R104" s="26">
        <v>150</v>
      </c>
      <c r="S104" s="22" t="s">
        <v>643</v>
      </c>
      <c r="T104" s="22"/>
      <c r="U104" s="22" t="s">
        <v>985</v>
      </c>
      <c r="V104" s="22"/>
      <c r="W104" s="22"/>
      <c r="X104" s="22"/>
    </row>
    <row r="105" spans="1:24" ht="42.75" x14ac:dyDescent="0.25">
      <c r="A105" s="22" t="s">
        <v>654</v>
      </c>
      <c r="B105" s="22" t="s">
        <v>554</v>
      </c>
      <c r="C105" s="22" t="s">
        <v>555</v>
      </c>
      <c r="D105" s="23">
        <v>5</v>
      </c>
      <c r="E105" s="22" t="str">
        <f>B105&amp;" Mastery "&amp;INDEX(Tiers!$B$2:$B$6,MATCH(D105,Tiers!$A$2:$A$6,0))</f>
        <v>Sword Mastery 900</v>
      </c>
      <c r="F105" s="24" t="s">
        <v>655</v>
      </c>
      <c r="G105" s="22" t="s">
        <v>128</v>
      </c>
      <c r="H105" s="22" t="s">
        <v>656</v>
      </c>
      <c r="I105" s="22" t="s">
        <v>554</v>
      </c>
      <c r="J105" s="25" t="s">
        <v>657</v>
      </c>
      <c r="K105" s="22" t="s">
        <v>558</v>
      </c>
      <c r="L105" s="22" t="s">
        <v>658</v>
      </c>
      <c r="M105" s="24" t="s">
        <v>30</v>
      </c>
      <c r="N105" s="22" t="s">
        <v>659</v>
      </c>
      <c r="O105" s="26">
        <v>60</v>
      </c>
      <c r="P105" s="26">
        <v>50</v>
      </c>
      <c r="Q105" s="26">
        <v>4</v>
      </c>
      <c r="R105" s="26">
        <v>200</v>
      </c>
      <c r="S105" s="22" t="s">
        <v>660</v>
      </c>
      <c r="T105" s="22"/>
      <c r="U105" s="22" t="s">
        <v>985</v>
      </c>
      <c r="V105" s="22"/>
      <c r="W105" s="22"/>
      <c r="X105" s="22"/>
    </row>
    <row r="106" spans="1:24" ht="42.75" x14ac:dyDescent="0.25">
      <c r="A106" s="22" t="s">
        <v>661</v>
      </c>
      <c r="B106" s="22" t="s">
        <v>554</v>
      </c>
      <c r="C106" s="22" t="s">
        <v>576</v>
      </c>
      <c r="D106" s="23">
        <v>5</v>
      </c>
      <c r="E106" s="22" t="str">
        <f>B106&amp;" Mastery "&amp;INDEX(Tiers!$B$2:$B$6,MATCH(D106,Tiers!$A$2:$A$6,0))</f>
        <v>Sword Mastery 900</v>
      </c>
      <c r="F106" s="24" t="s">
        <v>662</v>
      </c>
      <c r="G106" s="22" t="s">
        <v>47</v>
      </c>
      <c r="H106" s="22" t="s">
        <v>663</v>
      </c>
      <c r="I106" s="22" t="s">
        <v>554</v>
      </c>
      <c r="J106" s="25" t="s">
        <v>664</v>
      </c>
      <c r="K106" s="22" t="s">
        <v>558</v>
      </c>
      <c r="L106" s="22" t="s">
        <v>665</v>
      </c>
      <c r="M106" s="24" t="s">
        <v>50</v>
      </c>
      <c r="N106" s="22" t="s">
        <v>51</v>
      </c>
      <c r="O106" s="26">
        <v>120</v>
      </c>
      <c r="P106" s="26">
        <v>50</v>
      </c>
      <c r="Q106" s="26">
        <v>10</v>
      </c>
      <c r="R106" s="26">
        <v>200</v>
      </c>
      <c r="S106" s="22" t="s">
        <v>666</v>
      </c>
      <c r="T106" s="22"/>
      <c r="U106" s="22" t="s">
        <v>985</v>
      </c>
      <c r="V106" s="22"/>
      <c r="W106" s="22"/>
      <c r="X106" s="22"/>
    </row>
    <row r="107" spans="1:24" ht="28.5" x14ac:dyDescent="0.25">
      <c r="A107" s="27" t="s">
        <v>667</v>
      </c>
      <c r="B107" s="27" t="s">
        <v>668</v>
      </c>
      <c r="C107" s="27" t="s">
        <v>669</v>
      </c>
      <c r="D107" s="28">
        <v>1</v>
      </c>
      <c r="E107" s="27" t="str">
        <f>B107&amp;" Mastery "&amp;INDEX(Tiers!$B$2:$B$6,MATCH(D107,Tiers!$A$2:$A$6,0))</f>
        <v>Bow Mastery 0</v>
      </c>
      <c r="F107" s="29" t="s">
        <v>670</v>
      </c>
      <c r="G107" s="27" t="s">
        <v>24</v>
      </c>
      <c r="H107" s="27" t="s">
        <v>25</v>
      </c>
      <c r="I107" s="27" t="s">
        <v>668</v>
      </c>
      <c r="J107" s="30" t="s">
        <v>671</v>
      </c>
      <c r="K107" s="27" t="s">
        <v>672</v>
      </c>
      <c r="L107" s="27" t="s">
        <v>673</v>
      </c>
      <c r="M107" s="29" t="s">
        <v>30</v>
      </c>
      <c r="N107" s="27" t="s">
        <v>674</v>
      </c>
      <c r="O107" s="31">
        <v>2</v>
      </c>
      <c r="P107" s="31">
        <v>5</v>
      </c>
      <c r="Q107" s="31">
        <v>0.2</v>
      </c>
      <c r="R107" s="31">
        <v>50</v>
      </c>
      <c r="S107" s="27" t="s">
        <v>675</v>
      </c>
      <c r="T107" s="27"/>
      <c r="U107" s="27" t="s">
        <v>970</v>
      </c>
      <c r="V107" s="27">
        <v>0.8</v>
      </c>
      <c r="W107" s="27" t="s">
        <v>1013</v>
      </c>
      <c r="X107" s="27" t="s">
        <v>1014</v>
      </c>
    </row>
    <row r="108" spans="1:24" ht="42.75" x14ac:dyDescent="0.25">
      <c r="A108" s="27" t="s">
        <v>676</v>
      </c>
      <c r="B108" s="27" t="s">
        <v>668</v>
      </c>
      <c r="C108" s="27" t="s">
        <v>669</v>
      </c>
      <c r="D108" s="28">
        <v>1</v>
      </c>
      <c r="E108" s="27" t="str">
        <f>B108&amp;" Mastery "&amp;INDEX(Tiers!$B$2:$B$6,MATCH(D108,Tiers!$A$2:$A$6,0))</f>
        <v>Bow Mastery 0</v>
      </c>
      <c r="F108" s="29" t="s">
        <v>677</v>
      </c>
      <c r="G108" s="27" t="s">
        <v>24</v>
      </c>
      <c r="H108" s="27" t="s">
        <v>25</v>
      </c>
      <c r="I108" s="27" t="s">
        <v>668</v>
      </c>
      <c r="J108" s="30" t="s">
        <v>678</v>
      </c>
      <c r="K108" s="27" t="s">
        <v>672</v>
      </c>
      <c r="L108" s="27" t="s">
        <v>679</v>
      </c>
      <c r="M108" s="29" t="s">
        <v>43</v>
      </c>
      <c r="N108" s="27" t="s">
        <v>680</v>
      </c>
      <c r="O108" s="31">
        <v>6</v>
      </c>
      <c r="P108" s="31">
        <v>5</v>
      </c>
      <c r="Q108" s="31">
        <v>0.2</v>
      </c>
      <c r="R108" s="31">
        <v>50</v>
      </c>
      <c r="S108" s="27" t="s">
        <v>675</v>
      </c>
      <c r="T108" s="27"/>
      <c r="U108" s="27" t="s">
        <v>970</v>
      </c>
      <c r="V108" s="27">
        <v>1.5</v>
      </c>
      <c r="W108" s="27" t="s">
        <v>1015</v>
      </c>
      <c r="X108" s="27" t="s">
        <v>1016</v>
      </c>
    </row>
    <row r="109" spans="1:24" ht="28.5" x14ac:dyDescent="0.25">
      <c r="A109" s="27" t="s">
        <v>681</v>
      </c>
      <c r="B109" s="27" t="s">
        <v>668</v>
      </c>
      <c r="C109" s="27" t="s">
        <v>682</v>
      </c>
      <c r="D109" s="28">
        <v>1</v>
      </c>
      <c r="E109" s="27" t="str">
        <f>B109&amp;" Mastery "&amp;INDEX(Tiers!$B$2:$B$6,MATCH(D109,Tiers!$A$2:$A$6,0))</f>
        <v>Bow Mastery 0</v>
      </c>
      <c r="F109" s="29" t="s">
        <v>683</v>
      </c>
      <c r="G109" s="27" t="s">
        <v>55</v>
      </c>
      <c r="H109" s="27" t="s">
        <v>25</v>
      </c>
      <c r="I109" s="27" t="s">
        <v>668</v>
      </c>
      <c r="J109" s="30" t="s">
        <v>684</v>
      </c>
      <c r="K109" s="27" t="s">
        <v>685</v>
      </c>
      <c r="L109" s="27" t="s">
        <v>686</v>
      </c>
      <c r="M109" s="29" t="s">
        <v>50</v>
      </c>
      <c r="N109" s="27" t="s">
        <v>687</v>
      </c>
      <c r="O109" s="31">
        <v>12</v>
      </c>
      <c r="P109" s="31">
        <v>5</v>
      </c>
      <c r="Q109" s="31">
        <v>0.4</v>
      </c>
      <c r="R109" s="31">
        <v>50</v>
      </c>
      <c r="S109" s="27" t="s">
        <v>688</v>
      </c>
      <c r="T109" s="27"/>
      <c r="U109" s="27" t="s">
        <v>985</v>
      </c>
      <c r="V109" s="27"/>
      <c r="W109" s="27"/>
      <c r="X109" s="27"/>
    </row>
    <row r="110" spans="1:24" ht="28.5" x14ac:dyDescent="0.25">
      <c r="A110" s="27" t="s">
        <v>689</v>
      </c>
      <c r="B110" s="27" t="s">
        <v>668</v>
      </c>
      <c r="C110" s="27" t="s">
        <v>682</v>
      </c>
      <c r="D110" s="28">
        <v>1</v>
      </c>
      <c r="E110" s="27" t="str">
        <f>B110&amp;" Mastery "&amp;INDEX(Tiers!$B$2:$B$6,MATCH(D110,Tiers!$A$2:$A$6,0))</f>
        <v>Bow Mastery 0</v>
      </c>
      <c r="F110" s="29" t="s">
        <v>690</v>
      </c>
      <c r="G110" s="27" t="s">
        <v>102</v>
      </c>
      <c r="H110" s="27" t="s">
        <v>25</v>
      </c>
      <c r="I110" s="27" t="s">
        <v>668</v>
      </c>
      <c r="J110" s="30" t="s">
        <v>691</v>
      </c>
      <c r="K110" s="27" t="s">
        <v>685</v>
      </c>
      <c r="L110" s="27" t="s">
        <v>692</v>
      </c>
      <c r="M110" s="29" t="s">
        <v>30</v>
      </c>
      <c r="N110" s="27" t="s">
        <v>693</v>
      </c>
      <c r="O110" s="31">
        <v>15</v>
      </c>
      <c r="P110" s="31">
        <v>5</v>
      </c>
      <c r="Q110" s="31">
        <v>0.4</v>
      </c>
      <c r="R110" s="31">
        <v>50</v>
      </c>
      <c r="S110" s="27" t="s">
        <v>688</v>
      </c>
      <c r="T110" s="27"/>
      <c r="U110" s="27" t="s">
        <v>985</v>
      </c>
      <c r="V110" s="27"/>
      <c r="W110" s="27"/>
      <c r="X110" s="27"/>
    </row>
    <row r="111" spans="1:24" ht="28.5" x14ac:dyDescent="0.25">
      <c r="A111" s="27" t="s">
        <v>694</v>
      </c>
      <c r="B111" s="27" t="s">
        <v>668</v>
      </c>
      <c r="C111" s="27" t="s">
        <v>695</v>
      </c>
      <c r="D111" s="28">
        <v>2</v>
      </c>
      <c r="E111" s="27" t="str">
        <f>B111&amp;" Mastery "&amp;INDEX(Tiers!$B$2:$B$6,MATCH(D111,Tiers!$A$2:$A$6,0))</f>
        <v>Bow Mastery 150</v>
      </c>
      <c r="F111" s="29" t="s">
        <v>696</v>
      </c>
      <c r="G111" s="27" t="s">
        <v>68</v>
      </c>
      <c r="H111" s="27" t="s">
        <v>670</v>
      </c>
      <c r="I111" s="27" t="s">
        <v>668</v>
      </c>
      <c r="J111" s="30" t="s">
        <v>697</v>
      </c>
      <c r="K111" s="27" t="s">
        <v>672</v>
      </c>
      <c r="L111" s="27" t="s">
        <v>698</v>
      </c>
      <c r="M111" s="29" t="s">
        <v>30</v>
      </c>
      <c r="N111" s="27" t="s">
        <v>699</v>
      </c>
      <c r="O111" s="31">
        <v>8</v>
      </c>
      <c r="P111" s="31">
        <v>10</v>
      </c>
      <c r="Q111" s="31">
        <v>0.3</v>
      </c>
      <c r="R111" s="31">
        <v>70</v>
      </c>
      <c r="S111" s="27" t="s">
        <v>700</v>
      </c>
      <c r="T111" s="27"/>
      <c r="U111" s="27" t="s">
        <v>985</v>
      </c>
      <c r="V111" s="27"/>
      <c r="W111" s="27"/>
      <c r="X111" s="27"/>
    </row>
    <row r="112" spans="1:24" ht="28.5" x14ac:dyDescent="0.25">
      <c r="A112" s="27" t="s">
        <v>701</v>
      </c>
      <c r="B112" s="27" t="s">
        <v>668</v>
      </c>
      <c r="C112" s="27" t="s">
        <v>669</v>
      </c>
      <c r="D112" s="28">
        <v>2</v>
      </c>
      <c r="E112" s="27" t="str">
        <f>B112&amp;" Mastery "&amp;INDEX(Tiers!$B$2:$B$6,MATCH(D112,Tiers!$A$2:$A$6,0))</f>
        <v>Bow Mastery 150</v>
      </c>
      <c r="F112" s="29" t="s">
        <v>702</v>
      </c>
      <c r="G112" s="27" t="s">
        <v>24</v>
      </c>
      <c r="H112" s="27" t="s">
        <v>677</v>
      </c>
      <c r="I112" s="27" t="s">
        <v>668</v>
      </c>
      <c r="J112" s="30" t="s">
        <v>703</v>
      </c>
      <c r="K112" s="27" t="s">
        <v>672</v>
      </c>
      <c r="L112" s="27" t="s">
        <v>704</v>
      </c>
      <c r="M112" s="29" t="s">
        <v>43</v>
      </c>
      <c r="N112" s="27" t="s">
        <v>705</v>
      </c>
      <c r="O112" s="31">
        <v>10</v>
      </c>
      <c r="P112" s="31">
        <v>10</v>
      </c>
      <c r="Q112" s="31">
        <v>0.6</v>
      </c>
      <c r="R112" s="31">
        <v>70</v>
      </c>
      <c r="S112" s="27" t="s">
        <v>706</v>
      </c>
      <c r="T112" s="27"/>
      <c r="U112" s="27" t="s">
        <v>985</v>
      </c>
      <c r="V112" s="27"/>
      <c r="W112" s="27"/>
      <c r="X112" s="27"/>
    </row>
    <row r="113" spans="1:24" ht="28.5" x14ac:dyDescent="0.25">
      <c r="A113" s="27" t="s">
        <v>707</v>
      </c>
      <c r="B113" s="27" t="s">
        <v>668</v>
      </c>
      <c r="C113" s="27" t="s">
        <v>682</v>
      </c>
      <c r="D113" s="28">
        <v>2</v>
      </c>
      <c r="E113" s="27" t="str">
        <f>B113&amp;" Mastery "&amp;INDEX(Tiers!$B$2:$B$6,MATCH(D113,Tiers!$A$2:$A$6,0))</f>
        <v>Bow Mastery 150</v>
      </c>
      <c r="F113" s="29" t="s">
        <v>708</v>
      </c>
      <c r="G113" s="27" t="s">
        <v>594</v>
      </c>
      <c r="H113" s="27" t="s">
        <v>690</v>
      </c>
      <c r="I113" s="27" t="s">
        <v>668</v>
      </c>
      <c r="J113" s="30" t="s">
        <v>709</v>
      </c>
      <c r="K113" s="27" t="s">
        <v>672</v>
      </c>
      <c r="L113" s="27" t="s">
        <v>710</v>
      </c>
      <c r="M113" s="29" t="s">
        <v>30</v>
      </c>
      <c r="N113" s="27" t="s">
        <v>711</v>
      </c>
      <c r="O113" s="31">
        <v>8</v>
      </c>
      <c r="P113" s="31">
        <v>10</v>
      </c>
      <c r="Q113" s="31">
        <v>0.3</v>
      </c>
      <c r="R113" s="31">
        <v>70</v>
      </c>
      <c r="S113" s="27" t="s">
        <v>700</v>
      </c>
      <c r="T113" s="27"/>
      <c r="U113" s="27" t="s">
        <v>985</v>
      </c>
      <c r="V113" s="27"/>
      <c r="W113" s="27"/>
      <c r="X113" s="27"/>
    </row>
    <row r="114" spans="1:24" ht="28.5" x14ac:dyDescent="0.25">
      <c r="A114" s="27" t="s">
        <v>712</v>
      </c>
      <c r="B114" s="27" t="s">
        <v>668</v>
      </c>
      <c r="C114" s="27" t="s">
        <v>682</v>
      </c>
      <c r="D114" s="28">
        <v>2</v>
      </c>
      <c r="E114" s="27" t="str">
        <f>B114&amp;" Mastery "&amp;INDEX(Tiers!$B$2:$B$6,MATCH(D114,Tiers!$A$2:$A$6,0))</f>
        <v>Bow Mastery 150</v>
      </c>
      <c r="F114" s="29" t="s">
        <v>713</v>
      </c>
      <c r="G114" s="27" t="s">
        <v>363</v>
      </c>
      <c r="H114" s="27" t="s">
        <v>683</v>
      </c>
      <c r="I114" s="27" t="s">
        <v>668</v>
      </c>
      <c r="J114" s="30" t="s">
        <v>714</v>
      </c>
      <c r="K114" s="27" t="s">
        <v>672</v>
      </c>
      <c r="L114" s="27" t="s">
        <v>715</v>
      </c>
      <c r="M114" s="29" t="s">
        <v>43</v>
      </c>
      <c r="N114" s="27" t="s">
        <v>716</v>
      </c>
      <c r="O114" s="31">
        <v>14</v>
      </c>
      <c r="P114" s="31">
        <v>10</v>
      </c>
      <c r="Q114" s="31">
        <v>0.6</v>
      </c>
      <c r="R114" s="31">
        <v>70</v>
      </c>
      <c r="S114" s="27" t="s">
        <v>706</v>
      </c>
      <c r="T114" s="27"/>
      <c r="U114" s="27" t="s">
        <v>985</v>
      </c>
      <c r="V114" s="27"/>
      <c r="W114" s="27"/>
      <c r="X114" s="27"/>
    </row>
    <row r="115" spans="1:24" ht="28.5" x14ac:dyDescent="0.25">
      <c r="A115" s="27" t="s">
        <v>717</v>
      </c>
      <c r="B115" s="27" t="s">
        <v>668</v>
      </c>
      <c r="C115" s="27" t="s">
        <v>669</v>
      </c>
      <c r="D115" s="28">
        <v>2</v>
      </c>
      <c r="E115" s="27" t="str">
        <f>B115&amp;" Mastery "&amp;INDEX(Tiers!$B$2:$B$6,MATCH(D115,Tiers!$A$2:$A$6,0))</f>
        <v>Bow Mastery 150</v>
      </c>
      <c r="F115" s="29" t="s">
        <v>718</v>
      </c>
      <c r="G115" s="27" t="s">
        <v>47</v>
      </c>
      <c r="H115" s="27" t="s">
        <v>677</v>
      </c>
      <c r="I115" s="27" t="s">
        <v>668</v>
      </c>
      <c r="J115" s="30" t="s">
        <v>719</v>
      </c>
      <c r="K115" s="27" t="s">
        <v>685</v>
      </c>
      <c r="L115" s="27" t="s">
        <v>720</v>
      </c>
      <c r="M115" s="29" t="s">
        <v>50</v>
      </c>
      <c r="N115" s="27" t="s">
        <v>51</v>
      </c>
      <c r="O115" s="31">
        <v>20</v>
      </c>
      <c r="P115" s="31">
        <v>10</v>
      </c>
      <c r="Q115" s="31">
        <v>0.6</v>
      </c>
      <c r="R115" s="31">
        <v>70</v>
      </c>
      <c r="S115" s="27" t="s">
        <v>706</v>
      </c>
      <c r="T115" s="27"/>
      <c r="U115" s="27" t="s">
        <v>985</v>
      </c>
      <c r="V115" s="27"/>
      <c r="W115" s="27"/>
      <c r="X115" s="27"/>
    </row>
    <row r="116" spans="1:24" ht="42.75" x14ac:dyDescent="0.25">
      <c r="A116" s="27" t="s">
        <v>721</v>
      </c>
      <c r="B116" s="27" t="s">
        <v>668</v>
      </c>
      <c r="C116" s="27" t="s">
        <v>695</v>
      </c>
      <c r="D116" s="28">
        <v>3</v>
      </c>
      <c r="E116" s="27" t="str">
        <f>B116&amp;" Mastery "&amp;INDEX(Tiers!$B$2:$B$6,MATCH(D116,Tiers!$A$2:$A$6,0))</f>
        <v>Bow Mastery 350</v>
      </c>
      <c r="F116" s="29" t="s">
        <v>695</v>
      </c>
      <c r="G116" s="27" t="s">
        <v>68</v>
      </c>
      <c r="H116" s="27" t="s">
        <v>696</v>
      </c>
      <c r="I116" s="27" t="s">
        <v>668</v>
      </c>
      <c r="J116" s="30" t="s">
        <v>722</v>
      </c>
      <c r="K116" s="27" t="s">
        <v>672</v>
      </c>
      <c r="L116" s="27" t="s">
        <v>723</v>
      </c>
      <c r="M116" s="29" t="s">
        <v>58</v>
      </c>
      <c r="N116" s="27" t="s">
        <v>724</v>
      </c>
      <c r="O116" s="31">
        <v>14</v>
      </c>
      <c r="P116" s="31">
        <v>15</v>
      </c>
      <c r="Q116" s="31">
        <v>0.8</v>
      </c>
      <c r="R116" s="31">
        <v>100</v>
      </c>
      <c r="S116" s="27" t="s">
        <v>725</v>
      </c>
      <c r="T116" s="27"/>
      <c r="U116" s="27" t="s">
        <v>985</v>
      </c>
      <c r="V116" s="27"/>
      <c r="W116" s="27"/>
      <c r="X116" s="27"/>
    </row>
    <row r="117" spans="1:24" ht="42.75" x14ac:dyDescent="0.25">
      <c r="A117" s="27" t="s">
        <v>726</v>
      </c>
      <c r="B117" s="27" t="s">
        <v>668</v>
      </c>
      <c r="C117" s="27" t="s">
        <v>669</v>
      </c>
      <c r="D117" s="28">
        <v>3</v>
      </c>
      <c r="E117" s="27" t="str">
        <f>B117&amp;" Mastery "&amp;INDEX(Tiers!$B$2:$B$6,MATCH(D117,Tiers!$A$2:$A$6,0))</f>
        <v>Bow Mastery 350</v>
      </c>
      <c r="F117" s="29" t="s">
        <v>727</v>
      </c>
      <c r="G117" s="27" t="s">
        <v>128</v>
      </c>
      <c r="H117" s="27" t="s">
        <v>728</v>
      </c>
      <c r="I117" s="27" t="s">
        <v>668</v>
      </c>
      <c r="J117" s="30" t="s">
        <v>729</v>
      </c>
      <c r="K117" s="27" t="s">
        <v>672</v>
      </c>
      <c r="L117" s="27" t="s">
        <v>730</v>
      </c>
      <c r="M117" s="29" t="s">
        <v>30</v>
      </c>
      <c r="N117" s="27" t="s">
        <v>731</v>
      </c>
      <c r="O117" s="31">
        <v>20</v>
      </c>
      <c r="P117" s="31">
        <v>15</v>
      </c>
      <c r="Q117" s="31">
        <v>0.8</v>
      </c>
      <c r="R117" s="31">
        <v>100</v>
      </c>
      <c r="S117" s="27" t="s">
        <v>725</v>
      </c>
      <c r="T117" s="27"/>
      <c r="U117" s="27" t="s">
        <v>985</v>
      </c>
      <c r="V117" s="27"/>
      <c r="W117" s="27"/>
      <c r="X117" s="27"/>
    </row>
    <row r="118" spans="1:24" ht="42.75" x14ac:dyDescent="0.25">
      <c r="A118" s="27" t="s">
        <v>732</v>
      </c>
      <c r="B118" s="27" t="s">
        <v>668</v>
      </c>
      <c r="C118" s="27" t="s">
        <v>682</v>
      </c>
      <c r="D118" s="28">
        <v>3</v>
      </c>
      <c r="E118" s="27" t="str">
        <f>B118&amp;" Mastery "&amp;INDEX(Tiers!$B$2:$B$6,MATCH(D118,Tiers!$A$2:$A$6,0))</f>
        <v>Bow Mastery 350</v>
      </c>
      <c r="F118" s="29" t="s">
        <v>733</v>
      </c>
      <c r="G118" s="27" t="s">
        <v>734</v>
      </c>
      <c r="H118" s="27" t="s">
        <v>713</v>
      </c>
      <c r="I118" s="27" t="s">
        <v>668</v>
      </c>
      <c r="J118" s="30" t="s">
        <v>735</v>
      </c>
      <c r="K118" s="27" t="s">
        <v>672</v>
      </c>
      <c r="L118" s="27" t="s">
        <v>736</v>
      </c>
      <c r="M118" s="29" t="s">
        <v>58</v>
      </c>
      <c r="N118" s="27" t="s">
        <v>737</v>
      </c>
      <c r="O118" s="31">
        <v>18</v>
      </c>
      <c r="P118" s="31">
        <v>15</v>
      </c>
      <c r="Q118" s="31">
        <v>0.8</v>
      </c>
      <c r="R118" s="31">
        <v>100</v>
      </c>
      <c r="S118" s="27" t="s">
        <v>725</v>
      </c>
      <c r="T118" s="27"/>
      <c r="U118" s="27" t="s">
        <v>985</v>
      </c>
      <c r="V118" s="27"/>
      <c r="W118" s="27"/>
      <c r="X118" s="27"/>
    </row>
    <row r="119" spans="1:24" ht="42.75" x14ac:dyDescent="0.25">
      <c r="A119" s="27" t="s">
        <v>738</v>
      </c>
      <c r="B119" s="27" t="s">
        <v>668</v>
      </c>
      <c r="C119" s="27" t="s">
        <v>695</v>
      </c>
      <c r="D119" s="28">
        <v>3</v>
      </c>
      <c r="E119" s="27" t="str">
        <f>B119&amp;" Mastery "&amp;INDEX(Tiers!$B$2:$B$6,MATCH(D119,Tiers!$A$2:$A$6,0))</f>
        <v>Bow Mastery 350</v>
      </c>
      <c r="F119" s="29" t="s">
        <v>739</v>
      </c>
      <c r="G119" s="27" t="s">
        <v>24</v>
      </c>
      <c r="H119" s="27" t="s">
        <v>696</v>
      </c>
      <c r="I119" s="27" t="s">
        <v>668</v>
      </c>
      <c r="J119" s="30" t="s">
        <v>740</v>
      </c>
      <c r="K119" s="27" t="s">
        <v>672</v>
      </c>
      <c r="L119" s="27" t="s">
        <v>741</v>
      </c>
      <c r="M119" s="29" t="s">
        <v>30</v>
      </c>
      <c r="N119" s="27" t="s">
        <v>742</v>
      </c>
      <c r="O119" s="31">
        <v>16</v>
      </c>
      <c r="P119" s="31">
        <v>15</v>
      </c>
      <c r="Q119" s="31">
        <v>0.8</v>
      </c>
      <c r="R119" s="31">
        <v>100</v>
      </c>
      <c r="S119" s="27" t="s">
        <v>725</v>
      </c>
      <c r="T119" s="27"/>
      <c r="U119" s="27" t="s">
        <v>985</v>
      </c>
      <c r="V119" s="27"/>
      <c r="W119" s="27"/>
      <c r="X119" s="27"/>
    </row>
    <row r="120" spans="1:24" ht="42.75" x14ac:dyDescent="0.25">
      <c r="A120" s="27" t="s">
        <v>743</v>
      </c>
      <c r="B120" s="27" t="s">
        <v>668</v>
      </c>
      <c r="C120" s="27" t="s">
        <v>682</v>
      </c>
      <c r="D120" s="28">
        <v>3</v>
      </c>
      <c r="E120" s="27" t="str">
        <f>B120&amp;" Mastery "&amp;INDEX(Tiers!$B$2:$B$6,MATCH(D120,Tiers!$A$2:$A$6,0))</f>
        <v>Bow Mastery 350</v>
      </c>
      <c r="F120" s="29" t="s">
        <v>744</v>
      </c>
      <c r="G120" s="27" t="s">
        <v>745</v>
      </c>
      <c r="H120" s="27" t="s">
        <v>683</v>
      </c>
      <c r="I120" s="27" t="s">
        <v>668</v>
      </c>
      <c r="J120" s="30" t="s">
        <v>746</v>
      </c>
      <c r="K120" s="27" t="s">
        <v>685</v>
      </c>
      <c r="L120" s="27" t="s">
        <v>747</v>
      </c>
      <c r="M120" s="29" t="s">
        <v>50</v>
      </c>
      <c r="N120" s="27" t="s">
        <v>51</v>
      </c>
      <c r="O120" s="31">
        <v>30</v>
      </c>
      <c r="P120" s="31">
        <v>15</v>
      </c>
      <c r="Q120" s="31">
        <v>1.6</v>
      </c>
      <c r="R120" s="31">
        <v>100</v>
      </c>
      <c r="S120" s="27" t="s">
        <v>748</v>
      </c>
      <c r="T120" s="27"/>
      <c r="U120" s="27" t="s">
        <v>985</v>
      </c>
      <c r="V120" s="27"/>
      <c r="W120" s="27"/>
      <c r="X120" s="27"/>
    </row>
    <row r="121" spans="1:24" ht="42.75" x14ac:dyDescent="0.25">
      <c r="A121" s="27" t="s">
        <v>749</v>
      </c>
      <c r="B121" s="27" t="s">
        <v>668</v>
      </c>
      <c r="C121" s="27" t="s">
        <v>695</v>
      </c>
      <c r="D121" s="28">
        <v>4</v>
      </c>
      <c r="E121" s="27" t="str">
        <f>B121&amp;" Mastery "&amp;INDEX(Tiers!$B$2:$B$6,MATCH(D121,Tiers!$A$2:$A$6,0))</f>
        <v>Bow Mastery 600</v>
      </c>
      <c r="F121" s="29" t="s">
        <v>750</v>
      </c>
      <c r="G121" s="27" t="s">
        <v>68</v>
      </c>
      <c r="H121" s="27" t="s">
        <v>695</v>
      </c>
      <c r="I121" s="27" t="s">
        <v>668</v>
      </c>
      <c r="J121" s="30" t="s">
        <v>751</v>
      </c>
      <c r="K121" s="27" t="s">
        <v>672</v>
      </c>
      <c r="L121" s="27" t="s">
        <v>752</v>
      </c>
      <c r="M121" s="29" t="s">
        <v>58</v>
      </c>
      <c r="N121" s="27" t="s">
        <v>753</v>
      </c>
      <c r="O121" s="31">
        <v>35</v>
      </c>
      <c r="P121" s="31">
        <v>25</v>
      </c>
      <c r="Q121" s="31">
        <v>2</v>
      </c>
      <c r="R121" s="31">
        <v>150</v>
      </c>
      <c r="S121" s="27" t="s">
        <v>754</v>
      </c>
      <c r="T121" s="27"/>
      <c r="U121" s="27" t="s">
        <v>985</v>
      </c>
      <c r="V121" s="27"/>
      <c r="W121" s="27"/>
      <c r="X121" s="27"/>
    </row>
    <row r="122" spans="1:24" ht="42.75" x14ac:dyDescent="0.25">
      <c r="A122" s="27" t="s">
        <v>755</v>
      </c>
      <c r="B122" s="27" t="s">
        <v>668</v>
      </c>
      <c r="C122" s="27" t="s">
        <v>669</v>
      </c>
      <c r="D122" s="28">
        <v>4</v>
      </c>
      <c r="E122" s="27" t="str">
        <f>B122&amp;" Mastery "&amp;INDEX(Tiers!$B$2:$B$6,MATCH(D122,Tiers!$A$2:$A$6,0))</f>
        <v>Bow Mastery 600</v>
      </c>
      <c r="F122" s="29" t="s">
        <v>756</v>
      </c>
      <c r="G122" s="27" t="s">
        <v>403</v>
      </c>
      <c r="H122" s="27" t="s">
        <v>757</v>
      </c>
      <c r="I122" s="27" t="s">
        <v>668</v>
      </c>
      <c r="J122" s="30" t="s">
        <v>758</v>
      </c>
      <c r="K122" s="27" t="s">
        <v>672</v>
      </c>
      <c r="L122" s="27" t="s">
        <v>759</v>
      </c>
      <c r="M122" s="29" t="s">
        <v>43</v>
      </c>
      <c r="N122" s="27" t="s">
        <v>760</v>
      </c>
      <c r="O122" s="31">
        <v>25</v>
      </c>
      <c r="P122" s="31">
        <v>25</v>
      </c>
      <c r="Q122" s="31">
        <v>1</v>
      </c>
      <c r="R122" s="31">
        <v>150</v>
      </c>
      <c r="S122" s="27" t="s">
        <v>761</v>
      </c>
      <c r="T122" s="27"/>
      <c r="U122" s="27" t="s">
        <v>985</v>
      </c>
      <c r="V122" s="27"/>
      <c r="W122" s="27"/>
      <c r="X122" s="27"/>
    </row>
    <row r="123" spans="1:24" ht="42.75" x14ac:dyDescent="0.25">
      <c r="A123" s="27" t="s">
        <v>762</v>
      </c>
      <c r="B123" s="27" t="s">
        <v>668</v>
      </c>
      <c r="C123" s="27" t="s">
        <v>669</v>
      </c>
      <c r="D123" s="28">
        <v>4</v>
      </c>
      <c r="E123" s="27" t="str">
        <f>B123&amp;" Mastery "&amp;INDEX(Tiers!$B$2:$B$6,MATCH(D123,Tiers!$A$2:$A$6,0))</f>
        <v>Bow Mastery 600</v>
      </c>
      <c r="F123" s="29" t="s">
        <v>763</v>
      </c>
      <c r="G123" s="27" t="s">
        <v>128</v>
      </c>
      <c r="H123" s="27" t="s">
        <v>727</v>
      </c>
      <c r="I123" s="27" t="s">
        <v>668</v>
      </c>
      <c r="J123" s="30" t="s">
        <v>764</v>
      </c>
      <c r="K123" s="27" t="s">
        <v>672</v>
      </c>
      <c r="L123" s="27" t="s">
        <v>765</v>
      </c>
      <c r="M123" s="29" t="s">
        <v>30</v>
      </c>
      <c r="N123" s="27" t="s">
        <v>766</v>
      </c>
      <c r="O123" s="31">
        <v>20</v>
      </c>
      <c r="P123" s="31">
        <v>25</v>
      </c>
      <c r="Q123" s="31">
        <v>1</v>
      </c>
      <c r="R123" s="31">
        <v>150</v>
      </c>
      <c r="S123" s="27" t="s">
        <v>761</v>
      </c>
      <c r="T123" s="27"/>
      <c r="U123" s="27" t="s">
        <v>985</v>
      </c>
      <c r="V123" s="27"/>
      <c r="W123" s="27"/>
      <c r="X123" s="27"/>
    </row>
    <row r="124" spans="1:24" ht="42.75" x14ac:dyDescent="0.25">
      <c r="A124" s="27" t="s">
        <v>767</v>
      </c>
      <c r="B124" s="27" t="s">
        <v>668</v>
      </c>
      <c r="C124" s="27" t="s">
        <v>695</v>
      </c>
      <c r="D124" s="28">
        <v>4</v>
      </c>
      <c r="E124" s="27" t="str">
        <f>B124&amp;" Mastery "&amp;INDEX(Tiers!$B$2:$B$6,MATCH(D124,Tiers!$A$2:$A$6,0))</f>
        <v>Bow Mastery 600</v>
      </c>
      <c r="F124" s="29" t="s">
        <v>768</v>
      </c>
      <c r="G124" s="27" t="s">
        <v>24</v>
      </c>
      <c r="H124" s="27" t="s">
        <v>739</v>
      </c>
      <c r="I124" s="27" t="s">
        <v>668</v>
      </c>
      <c r="J124" s="30" t="s">
        <v>769</v>
      </c>
      <c r="K124" s="27" t="s">
        <v>672</v>
      </c>
      <c r="L124" s="27" t="s">
        <v>770</v>
      </c>
      <c r="M124" s="29" t="s">
        <v>30</v>
      </c>
      <c r="N124" s="27" t="s">
        <v>771</v>
      </c>
      <c r="O124" s="31">
        <v>15</v>
      </c>
      <c r="P124" s="31">
        <v>25</v>
      </c>
      <c r="Q124" s="31">
        <v>1</v>
      </c>
      <c r="R124" s="31">
        <v>150</v>
      </c>
      <c r="S124" s="27" t="s">
        <v>761</v>
      </c>
      <c r="T124" s="27"/>
      <c r="U124" s="27" t="s">
        <v>985</v>
      </c>
      <c r="V124" s="27"/>
      <c r="W124" s="27"/>
      <c r="X124" s="27"/>
    </row>
    <row r="125" spans="1:24" ht="42.75" x14ac:dyDescent="0.25">
      <c r="A125" s="27" t="s">
        <v>772</v>
      </c>
      <c r="B125" s="27" t="s">
        <v>668</v>
      </c>
      <c r="C125" s="27" t="s">
        <v>669</v>
      </c>
      <c r="D125" s="28">
        <v>5</v>
      </c>
      <c r="E125" s="27" t="str">
        <f>B125&amp;" Mastery "&amp;INDEX(Tiers!$B$2:$B$6,MATCH(D125,Tiers!$A$2:$A$6,0))</f>
        <v>Bow Mastery 900</v>
      </c>
      <c r="F125" s="29" t="s">
        <v>773</v>
      </c>
      <c r="G125" s="27" t="s">
        <v>47</v>
      </c>
      <c r="H125" s="27" t="s">
        <v>774</v>
      </c>
      <c r="I125" s="27" t="s">
        <v>668</v>
      </c>
      <c r="J125" s="30" t="s">
        <v>775</v>
      </c>
      <c r="K125" s="27" t="s">
        <v>776</v>
      </c>
      <c r="L125" s="27" t="s">
        <v>777</v>
      </c>
      <c r="M125" s="29" t="s">
        <v>50</v>
      </c>
      <c r="N125" s="27" t="s">
        <v>51</v>
      </c>
      <c r="O125" s="31">
        <v>120</v>
      </c>
      <c r="P125" s="31">
        <v>50</v>
      </c>
      <c r="Q125" s="31">
        <v>10</v>
      </c>
      <c r="R125" s="31">
        <v>200</v>
      </c>
      <c r="S125" s="27" t="s">
        <v>778</v>
      </c>
      <c r="T125" s="27"/>
      <c r="U125" s="27" t="s">
        <v>985</v>
      </c>
      <c r="V125" s="27"/>
      <c r="W125" s="27"/>
      <c r="X125" s="27"/>
    </row>
    <row r="126" spans="1:24" ht="42.75" x14ac:dyDescent="0.25">
      <c r="A126" s="27" t="s">
        <v>779</v>
      </c>
      <c r="B126" s="27" t="s">
        <v>668</v>
      </c>
      <c r="C126" s="27" t="s">
        <v>695</v>
      </c>
      <c r="D126" s="28">
        <v>5</v>
      </c>
      <c r="E126" s="27" t="str">
        <f>B126&amp;" Mastery "&amp;INDEX(Tiers!$B$2:$B$6,MATCH(D126,Tiers!$A$2:$A$6,0))</f>
        <v>Bow Mastery 900</v>
      </c>
      <c r="F126" s="29" t="s">
        <v>780</v>
      </c>
      <c r="G126" s="27" t="s">
        <v>68</v>
      </c>
      <c r="H126" s="27" t="s">
        <v>781</v>
      </c>
      <c r="I126" s="27" t="s">
        <v>668</v>
      </c>
      <c r="J126" s="30" t="s">
        <v>782</v>
      </c>
      <c r="K126" s="27" t="s">
        <v>672</v>
      </c>
      <c r="L126" s="27" t="s">
        <v>783</v>
      </c>
      <c r="M126" s="29" t="s">
        <v>58</v>
      </c>
      <c r="N126" s="27" t="s">
        <v>784</v>
      </c>
      <c r="O126" s="31">
        <v>90</v>
      </c>
      <c r="P126" s="31">
        <v>50</v>
      </c>
      <c r="Q126" s="31">
        <v>10</v>
      </c>
      <c r="R126" s="31">
        <v>200</v>
      </c>
      <c r="S126" s="27" t="s">
        <v>778</v>
      </c>
      <c r="T126" s="27"/>
      <c r="U126" s="27" t="s">
        <v>985</v>
      </c>
      <c r="V126" s="27"/>
      <c r="W126" s="27"/>
      <c r="X126" s="27"/>
    </row>
    <row r="127" spans="1:24" ht="42.75" x14ac:dyDescent="0.25">
      <c r="A127" s="32" t="s">
        <v>785</v>
      </c>
      <c r="B127" s="32" t="s">
        <v>786</v>
      </c>
      <c r="C127" s="32" t="s">
        <v>787</v>
      </c>
      <c r="D127" s="33">
        <v>1</v>
      </c>
      <c r="E127" s="32" t="str">
        <f>B127&amp;" Mastery "&amp;INDEX(Tiers!$B$2:$B$6,MATCH(D127,Tiers!$A$2:$A$6,0))</f>
        <v>Hammer Mastery 0</v>
      </c>
      <c r="F127" s="34" t="s">
        <v>787</v>
      </c>
      <c r="G127" s="32" t="s">
        <v>24</v>
      </c>
      <c r="H127" s="32" t="s">
        <v>25</v>
      </c>
      <c r="I127" s="32" t="s">
        <v>786</v>
      </c>
      <c r="J127" s="35" t="s">
        <v>788</v>
      </c>
      <c r="K127" s="32" t="s">
        <v>789</v>
      </c>
      <c r="L127" s="32" t="s">
        <v>790</v>
      </c>
      <c r="M127" s="34" t="s">
        <v>30</v>
      </c>
      <c r="N127" s="32" t="s">
        <v>791</v>
      </c>
      <c r="O127" s="36">
        <v>4</v>
      </c>
      <c r="P127" s="36">
        <v>5</v>
      </c>
      <c r="Q127" s="36">
        <v>0.2</v>
      </c>
      <c r="R127" s="36">
        <v>50</v>
      </c>
      <c r="S127" s="32" t="s">
        <v>792</v>
      </c>
      <c r="T127" s="32"/>
      <c r="U127" s="32" t="s">
        <v>970</v>
      </c>
      <c r="V127" s="32">
        <v>1.2</v>
      </c>
      <c r="W127" s="32" t="s">
        <v>1017</v>
      </c>
      <c r="X127" s="32" t="s">
        <v>1018</v>
      </c>
    </row>
    <row r="128" spans="1:24" ht="42.75" x14ac:dyDescent="0.25">
      <c r="A128" s="32" t="s">
        <v>793</v>
      </c>
      <c r="B128" s="32" t="s">
        <v>786</v>
      </c>
      <c r="C128" s="32" t="s">
        <v>794</v>
      </c>
      <c r="D128" s="33">
        <v>1</v>
      </c>
      <c r="E128" s="32" t="str">
        <f>B128&amp;" Mastery "&amp;INDEX(Tiers!$B$2:$B$6,MATCH(D128,Tiers!$A$2:$A$6,0))</f>
        <v>Hammer Mastery 0</v>
      </c>
      <c r="F128" s="34" t="s">
        <v>795</v>
      </c>
      <c r="G128" s="32" t="s">
        <v>68</v>
      </c>
      <c r="H128" s="32" t="s">
        <v>25</v>
      </c>
      <c r="I128" s="32" t="s">
        <v>786</v>
      </c>
      <c r="J128" s="35" t="s">
        <v>796</v>
      </c>
      <c r="K128" s="32" t="s">
        <v>789</v>
      </c>
      <c r="L128" s="32" t="s">
        <v>797</v>
      </c>
      <c r="M128" s="34" t="s">
        <v>50</v>
      </c>
      <c r="N128" s="32" t="s">
        <v>508</v>
      </c>
      <c r="O128" s="36">
        <v>8</v>
      </c>
      <c r="P128" s="36">
        <v>5</v>
      </c>
      <c r="Q128" s="36">
        <v>0.2</v>
      </c>
      <c r="R128" s="36">
        <v>50</v>
      </c>
      <c r="S128" s="32" t="s">
        <v>792</v>
      </c>
      <c r="T128" s="32"/>
      <c r="U128" s="32" t="s">
        <v>970</v>
      </c>
      <c r="V128" s="32">
        <v>1.5</v>
      </c>
      <c r="W128" s="32" t="s">
        <v>982</v>
      </c>
      <c r="X128" s="32" t="s">
        <v>1019</v>
      </c>
    </row>
    <row r="129" spans="1:24" ht="42.75" x14ac:dyDescent="0.25">
      <c r="A129" s="32" t="s">
        <v>798</v>
      </c>
      <c r="B129" s="32" t="s">
        <v>786</v>
      </c>
      <c r="C129" s="32" t="s">
        <v>799</v>
      </c>
      <c r="D129" s="33">
        <v>1</v>
      </c>
      <c r="E129" s="32" t="str">
        <f>B129&amp;" Mastery "&amp;INDEX(Tiers!$B$2:$B$6,MATCH(D129,Tiers!$A$2:$A$6,0))</f>
        <v>Hammer Mastery 0</v>
      </c>
      <c r="F129" s="34" t="s">
        <v>800</v>
      </c>
      <c r="G129" s="32" t="s">
        <v>47</v>
      </c>
      <c r="H129" s="32" t="s">
        <v>25</v>
      </c>
      <c r="I129" s="32" t="s">
        <v>786</v>
      </c>
      <c r="J129" s="35" t="s">
        <v>801</v>
      </c>
      <c r="K129" s="32" t="s">
        <v>802</v>
      </c>
      <c r="L129" s="32" t="s">
        <v>803</v>
      </c>
      <c r="M129" s="34" t="s">
        <v>50</v>
      </c>
      <c r="N129" s="32" t="s">
        <v>51</v>
      </c>
      <c r="O129" s="36">
        <v>20</v>
      </c>
      <c r="P129" s="36">
        <v>5</v>
      </c>
      <c r="Q129" s="36">
        <v>0.4</v>
      </c>
      <c r="R129" s="36">
        <v>50</v>
      </c>
      <c r="S129" s="32" t="s">
        <v>804</v>
      </c>
      <c r="T129" s="32"/>
      <c r="U129" s="32" t="s">
        <v>985</v>
      </c>
      <c r="V129" s="32"/>
      <c r="W129" s="32"/>
      <c r="X129" s="32"/>
    </row>
    <row r="130" spans="1:24" ht="42.75" x14ac:dyDescent="0.25">
      <c r="A130" s="32" t="s">
        <v>805</v>
      </c>
      <c r="B130" s="32" t="s">
        <v>786</v>
      </c>
      <c r="C130" s="32" t="s">
        <v>787</v>
      </c>
      <c r="D130" s="33">
        <v>1</v>
      </c>
      <c r="E130" s="32" t="str">
        <f>B130&amp;" Mastery "&amp;INDEX(Tiers!$B$2:$B$6,MATCH(D130,Tiers!$A$2:$A$6,0))</f>
        <v>Hammer Mastery 0</v>
      </c>
      <c r="F130" s="34" t="s">
        <v>806</v>
      </c>
      <c r="G130" s="32" t="s">
        <v>68</v>
      </c>
      <c r="H130" s="32" t="s">
        <v>25</v>
      </c>
      <c r="I130" s="32" t="s">
        <v>786</v>
      </c>
      <c r="J130" s="35" t="s">
        <v>807</v>
      </c>
      <c r="K130" s="32" t="s">
        <v>789</v>
      </c>
      <c r="L130" s="32" t="s">
        <v>808</v>
      </c>
      <c r="M130" s="34" t="s">
        <v>43</v>
      </c>
      <c r="N130" s="32" t="s">
        <v>809</v>
      </c>
      <c r="O130" s="36">
        <v>6</v>
      </c>
      <c r="P130" s="36">
        <v>5</v>
      </c>
      <c r="Q130" s="36">
        <v>0.2</v>
      </c>
      <c r="R130" s="36">
        <v>50</v>
      </c>
      <c r="S130" s="32" t="s">
        <v>792</v>
      </c>
      <c r="T130" s="32"/>
      <c r="U130" s="32" t="s">
        <v>985</v>
      </c>
      <c r="V130" s="32"/>
      <c r="W130" s="32"/>
      <c r="X130" s="32"/>
    </row>
    <row r="131" spans="1:24" ht="42.75" x14ac:dyDescent="0.25">
      <c r="A131" s="32" t="s">
        <v>810</v>
      </c>
      <c r="B131" s="32" t="s">
        <v>786</v>
      </c>
      <c r="C131" s="32" t="s">
        <v>794</v>
      </c>
      <c r="D131" s="33">
        <v>2</v>
      </c>
      <c r="E131" s="32" t="str">
        <f>B131&amp;" Mastery "&amp;INDEX(Tiers!$B$2:$B$6,MATCH(D131,Tiers!$A$2:$A$6,0))</f>
        <v>Hammer Mastery 150</v>
      </c>
      <c r="F131" s="34" t="s">
        <v>811</v>
      </c>
      <c r="G131" s="32" t="s">
        <v>68</v>
      </c>
      <c r="H131" s="32" t="s">
        <v>795</v>
      </c>
      <c r="I131" s="32" t="s">
        <v>786</v>
      </c>
      <c r="J131" s="35" t="s">
        <v>812</v>
      </c>
      <c r="K131" s="32" t="s">
        <v>789</v>
      </c>
      <c r="L131" s="32" t="s">
        <v>813</v>
      </c>
      <c r="M131" s="34" t="s">
        <v>43</v>
      </c>
      <c r="N131" s="32" t="s">
        <v>814</v>
      </c>
      <c r="O131" s="36">
        <v>12</v>
      </c>
      <c r="P131" s="36">
        <v>10</v>
      </c>
      <c r="Q131" s="36">
        <v>0.6</v>
      </c>
      <c r="R131" s="36">
        <v>70</v>
      </c>
      <c r="S131" s="32" t="s">
        <v>815</v>
      </c>
      <c r="T131" s="32"/>
      <c r="U131" s="32" t="s">
        <v>985</v>
      </c>
      <c r="V131" s="32"/>
      <c r="W131" s="32"/>
      <c r="X131" s="32"/>
    </row>
    <row r="132" spans="1:24" ht="42.75" x14ac:dyDescent="0.25">
      <c r="A132" s="32" t="s">
        <v>816</v>
      </c>
      <c r="B132" s="32" t="s">
        <v>786</v>
      </c>
      <c r="C132" s="32" t="s">
        <v>787</v>
      </c>
      <c r="D132" s="33">
        <v>2</v>
      </c>
      <c r="E132" s="32" t="str">
        <f>B132&amp;" Mastery "&amp;INDEX(Tiers!$B$2:$B$6,MATCH(D132,Tiers!$A$2:$A$6,0))</f>
        <v>Hammer Mastery 150</v>
      </c>
      <c r="F132" s="34" t="s">
        <v>817</v>
      </c>
      <c r="G132" s="32" t="s">
        <v>363</v>
      </c>
      <c r="H132" s="32" t="s">
        <v>787</v>
      </c>
      <c r="I132" s="32" t="s">
        <v>786</v>
      </c>
      <c r="J132" s="35" t="s">
        <v>818</v>
      </c>
      <c r="K132" s="32" t="s">
        <v>789</v>
      </c>
      <c r="L132" s="32" t="s">
        <v>819</v>
      </c>
      <c r="M132" s="34" t="s">
        <v>30</v>
      </c>
      <c r="N132" s="32" t="s">
        <v>791</v>
      </c>
      <c r="O132" s="36">
        <v>14</v>
      </c>
      <c r="P132" s="36">
        <v>10</v>
      </c>
      <c r="Q132" s="36">
        <v>0.6</v>
      </c>
      <c r="R132" s="36">
        <v>70</v>
      </c>
      <c r="S132" s="32" t="s">
        <v>815</v>
      </c>
      <c r="T132" s="32"/>
      <c r="U132" s="32" t="s">
        <v>985</v>
      </c>
      <c r="V132" s="32"/>
      <c r="W132" s="32"/>
      <c r="X132" s="32"/>
    </row>
    <row r="133" spans="1:24" ht="42.75" x14ac:dyDescent="0.25">
      <c r="A133" s="32" t="s">
        <v>820</v>
      </c>
      <c r="B133" s="32" t="s">
        <v>786</v>
      </c>
      <c r="C133" s="32" t="s">
        <v>794</v>
      </c>
      <c r="D133" s="33">
        <v>2</v>
      </c>
      <c r="E133" s="32" t="str">
        <f>B133&amp;" Mastery "&amp;INDEX(Tiers!$B$2:$B$6,MATCH(D133,Tiers!$A$2:$A$6,0))</f>
        <v>Hammer Mastery 150</v>
      </c>
      <c r="F133" s="34" t="s">
        <v>821</v>
      </c>
      <c r="G133" s="32" t="s">
        <v>822</v>
      </c>
      <c r="H133" s="32" t="s">
        <v>795</v>
      </c>
      <c r="I133" s="32" t="s">
        <v>786</v>
      </c>
      <c r="J133" s="35" t="s">
        <v>823</v>
      </c>
      <c r="K133" s="32" t="s">
        <v>789</v>
      </c>
      <c r="L133" s="32" t="s">
        <v>824</v>
      </c>
      <c r="M133" s="34" t="s">
        <v>58</v>
      </c>
      <c r="N133" s="32" t="s">
        <v>825</v>
      </c>
      <c r="O133" s="36">
        <v>15</v>
      </c>
      <c r="P133" s="36">
        <v>10</v>
      </c>
      <c r="Q133" s="36">
        <v>0.6</v>
      </c>
      <c r="R133" s="36">
        <v>70</v>
      </c>
      <c r="S133" s="32" t="s">
        <v>815</v>
      </c>
      <c r="T133" s="32"/>
      <c r="U133" s="32" t="s">
        <v>985</v>
      </c>
      <c r="V133" s="32"/>
      <c r="W133" s="32"/>
      <c r="X133" s="32"/>
    </row>
    <row r="134" spans="1:24" ht="42.75" x14ac:dyDescent="0.25">
      <c r="A134" s="32" t="s">
        <v>826</v>
      </c>
      <c r="B134" s="32" t="s">
        <v>786</v>
      </c>
      <c r="C134" s="32" t="s">
        <v>787</v>
      </c>
      <c r="D134" s="33">
        <v>2</v>
      </c>
      <c r="E134" s="32" t="str">
        <f>B134&amp;" Mastery "&amp;INDEX(Tiers!$B$2:$B$6,MATCH(D134,Tiers!$A$2:$A$6,0))</f>
        <v>Hammer Mastery 150</v>
      </c>
      <c r="F134" s="34" t="s">
        <v>827</v>
      </c>
      <c r="G134" s="32" t="s">
        <v>828</v>
      </c>
      <c r="H134" s="32" t="s">
        <v>806</v>
      </c>
      <c r="I134" s="32" t="s">
        <v>786</v>
      </c>
      <c r="J134" s="35" t="s">
        <v>829</v>
      </c>
      <c r="K134" s="32" t="s">
        <v>789</v>
      </c>
      <c r="L134" s="32" t="s">
        <v>830</v>
      </c>
      <c r="M134" s="34" t="s">
        <v>43</v>
      </c>
      <c r="N134" s="32" t="s">
        <v>831</v>
      </c>
      <c r="O134" s="36">
        <v>10</v>
      </c>
      <c r="P134" s="36">
        <v>10</v>
      </c>
      <c r="Q134" s="36">
        <v>0.6</v>
      </c>
      <c r="R134" s="36">
        <v>70</v>
      </c>
      <c r="S134" s="32" t="s">
        <v>815</v>
      </c>
      <c r="T134" s="32"/>
      <c r="U134" s="32" t="s">
        <v>985</v>
      </c>
      <c r="V134" s="32"/>
      <c r="W134" s="32"/>
      <c r="X134" s="32"/>
    </row>
    <row r="135" spans="1:24" ht="42.75" x14ac:dyDescent="0.25">
      <c r="A135" s="32" t="s">
        <v>832</v>
      </c>
      <c r="B135" s="32" t="s">
        <v>786</v>
      </c>
      <c r="C135" s="32" t="s">
        <v>799</v>
      </c>
      <c r="D135" s="33">
        <v>2</v>
      </c>
      <c r="E135" s="32" t="str">
        <f>B135&amp;" Mastery "&amp;INDEX(Tiers!$B$2:$B$6,MATCH(D135,Tiers!$A$2:$A$6,0))</f>
        <v>Hammer Mastery 150</v>
      </c>
      <c r="F135" s="34" t="s">
        <v>833</v>
      </c>
      <c r="G135" s="32" t="s">
        <v>47</v>
      </c>
      <c r="H135" s="32" t="s">
        <v>800</v>
      </c>
      <c r="I135" s="32" t="s">
        <v>786</v>
      </c>
      <c r="J135" s="35" t="s">
        <v>834</v>
      </c>
      <c r="K135" s="32" t="s">
        <v>789</v>
      </c>
      <c r="L135" s="32" t="s">
        <v>835</v>
      </c>
      <c r="M135" s="34" t="s">
        <v>50</v>
      </c>
      <c r="N135" s="32" t="s">
        <v>51</v>
      </c>
      <c r="O135" s="36">
        <v>20</v>
      </c>
      <c r="P135" s="36">
        <v>10</v>
      </c>
      <c r="Q135" s="36">
        <v>0.6</v>
      </c>
      <c r="R135" s="36">
        <v>70</v>
      </c>
      <c r="S135" s="32" t="s">
        <v>815</v>
      </c>
      <c r="T135" s="32"/>
      <c r="U135" s="32" t="s">
        <v>985</v>
      </c>
      <c r="V135" s="32"/>
      <c r="W135" s="32"/>
      <c r="X135" s="32"/>
    </row>
    <row r="136" spans="1:24" ht="42.75" x14ac:dyDescent="0.25">
      <c r="A136" s="32" t="s">
        <v>836</v>
      </c>
      <c r="B136" s="32" t="s">
        <v>786</v>
      </c>
      <c r="C136" s="32" t="s">
        <v>794</v>
      </c>
      <c r="D136" s="33">
        <v>3</v>
      </c>
      <c r="E136" s="32" t="str">
        <f>B136&amp;" Mastery "&amp;INDEX(Tiers!$B$2:$B$6,MATCH(D136,Tiers!$A$2:$A$6,0))</f>
        <v>Hammer Mastery 350</v>
      </c>
      <c r="F136" s="34" t="s">
        <v>837</v>
      </c>
      <c r="G136" s="32" t="s">
        <v>280</v>
      </c>
      <c r="H136" s="32" t="s">
        <v>821</v>
      </c>
      <c r="I136" s="32" t="s">
        <v>786</v>
      </c>
      <c r="J136" s="35" t="s">
        <v>838</v>
      </c>
      <c r="K136" s="32" t="s">
        <v>789</v>
      </c>
      <c r="L136" s="32" t="s">
        <v>839</v>
      </c>
      <c r="M136" s="34" t="s">
        <v>58</v>
      </c>
      <c r="N136" s="32" t="s">
        <v>840</v>
      </c>
      <c r="O136" s="36">
        <v>20</v>
      </c>
      <c r="P136" s="36">
        <v>15</v>
      </c>
      <c r="Q136" s="36">
        <v>0.8</v>
      </c>
      <c r="R136" s="36">
        <v>100</v>
      </c>
      <c r="S136" s="32" t="s">
        <v>841</v>
      </c>
      <c r="T136" s="32"/>
      <c r="U136" s="32" t="s">
        <v>985</v>
      </c>
      <c r="V136" s="32"/>
      <c r="W136" s="32"/>
      <c r="X136" s="32"/>
    </row>
    <row r="137" spans="1:24" ht="42.75" x14ac:dyDescent="0.25">
      <c r="A137" s="32" t="s">
        <v>842</v>
      </c>
      <c r="B137" s="32" t="s">
        <v>786</v>
      </c>
      <c r="C137" s="32" t="s">
        <v>787</v>
      </c>
      <c r="D137" s="33">
        <v>3</v>
      </c>
      <c r="E137" s="32" t="str">
        <f>B137&amp;" Mastery "&amp;INDEX(Tiers!$B$2:$B$6,MATCH(D137,Tiers!$A$2:$A$6,0))</f>
        <v>Hammer Mastery 350</v>
      </c>
      <c r="F137" s="34" t="s">
        <v>843</v>
      </c>
      <c r="G137" s="32" t="s">
        <v>68</v>
      </c>
      <c r="H137" s="32" t="s">
        <v>827</v>
      </c>
      <c r="I137" s="32" t="s">
        <v>786</v>
      </c>
      <c r="J137" s="35" t="s">
        <v>844</v>
      </c>
      <c r="K137" s="32" t="s">
        <v>789</v>
      </c>
      <c r="L137" s="32" t="s">
        <v>845</v>
      </c>
      <c r="M137" s="34" t="s">
        <v>50</v>
      </c>
      <c r="N137" s="32" t="s">
        <v>206</v>
      </c>
      <c r="O137" s="36">
        <v>16</v>
      </c>
      <c r="P137" s="36">
        <v>15</v>
      </c>
      <c r="Q137" s="36">
        <v>0.8</v>
      </c>
      <c r="R137" s="36">
        <v>100</v>
      </c>
      <c r="S137" s="32" t="s">
        <v>841</v>
      </c>
      <c r="T137" s="32"/>
      <c r="U137" s="32" t="s">
        <v>985</v>
      </c>
      <c r="V137" s="32"/>
      <c r="W137" s="32"/>
      <c r="X137" s="32"/>
    </row>
    <row r="138" spans="1:24" ht="42.75" x14ac:dyDescent="0.25">
      <c r="A138" s="32" t="s">
        <v>846</v>
      </c>
      <c r="B138" s="32" t="s">
        <v>786</v>
      </c>
      <c r="C138" s="32" t="s">
        <v>787</v>
      </c>
      <c r="D138" s="33">
        <v>3</v>
      </c>
      <c r="E138" s="32" t="str">
        <f>B138&amp;" Mastery "&amp;INDEX(Tiers!$B$2:$B$6,MATCH(D138,Tiers!$A$2:$A$6,0))</f>
        <v>Hammer Mastery 350</v>
      </c>
      <c r="F138" s="34" t="s">
        <v>847</v>
      </c>
      <c r="G138" s="32" t="s">
        <v>102</v>
      </c>
      <c r="H138" s="32" t="s">
        <v>817</v>
      </c>
      <c r="I138" s="32" t="s">
        <v>786</v>
      </c>
      <c r="J138" s="35" t="s">
        <v>848</v>
      </c>
      <c r="K138" s="32" t="s">
        <v>789</v>
      </c>
      <c r="L138" s="32" t="s">
        <v>849</v>
      </c>
      <c r="M138" s="34" t="s">
        <v>43</v>
      </c>
      <c r="N138" s="32" t="s">
        <v>850</v>
      </c>
      <c r="O138" s="36">
        <v>18</v>
      </c>
      <c r="P138" s="36">
        <v>15</v>
      </c>
      <c r="Q138" s="36">
        <v>0.8</v>
      </c>
      <c r="R138" s="36">
        <v>100</v>
      </c>
      <c r="S138" s="32" t="s">
        <v>841</v>
      </c>
      <c r="T138" s="32"/>
      <c r="U138" s="32" t="s">
        <v>985</v>
      </c>
      <c r="V138" s="32"/>
      <c r="W138" s="32"/>
      <c r="X138" s="32"/>
    </row>
    <row r="139" spans="1:24" ht="42.75" x14ac:dyDescent="0.25">
      <c r="A139" s="32" t="s">
        <v>851</v>
      </c>
      <c r="B139" s="32" t="s">
        <v>786</v>
      </c>
      <c r="C139" s="32" t="s">
        <v>794</v>
      </c>
      <c r="D139" s="33">
        <v>3</v>
      </c>
      <c r="E139" s="32" t="str">
        <f>B139&amp;" Mastery "&amp;INDEX(Tiers!$B$2:$B$6,MATCH(D139,Tiers!$A$2:$A$6,0))</f>
        <v>Hammer Mastery 350</v>
      </c>
      <c r="F139" s="34" t="s">
        <v>852</v>
      </c>
      <c r="G139" s="32" t="s">
        <v>828</v>
      </c>
      <c r="H139" s="32" t="s">
        <v>853</v>
      </c>
      <c r="I139" s="32" t="s">
        <v>786</v>
      </c>
      <c r="J139" s="35" t="s">
        <v>854</v>
      </c>
      <c r="K139" s="32" t="s">
        <v>789</v>
      </c>
      <c r="L139" s="32" t="s">
        <v>855</v>
      </c>
      <c r="M139" s="34" t="s">
        <v>58</v>
      </c>
      <c r="N139" s="32" t="s">
        <v>856</v>
      </c>
      <c r="O139" s="36">
        <v>25</v>
      </c>
      <c r="P139" s="36">
        <v>15</v>
      </c>
      <c r="Q139" s="36">
        <v>0.8</v>
      </c>
      <c r="R139" s="36">
        <v>100</v>
      </c>
      <c r="S139" s="32" t="s">
        <v>841</v>
      </c>
      <c r="T139" s="32"/>
      <c r="U139" s="32" t="s">
        <v>985</v>
      </c>
      <c r="V139" s="32"/>
      <c r="W139" s="32"/>
      <c r="X139" s="32"/>
    </row>
    <row r="140" spans="1:24" ht="42.75" x14ac:dyDescent="0.25">
      <c r="A140" s="32" t="s">
        <v>857</v>
      </c>
      <c r="B140" s="32" t="s">
        <v>786</v>
      </c>
      <c r="C140" s="32" t="s">
        <v>799</v>
      </c>
      <c r="D140" s="33">
        <v>3</v>
      </c>
      <c r="E140" s="32" t="str">
        <f>B140&amp;" Mastery "&amp;INDEX(Tiers!$B$2:$B$6,MATCH(D140,Tiers!$A$2:$A$6,0))</f>
        <v>Hammer Mastery 350</v>
      </c>
      <c r="F140" s="34" t="s">
        <v>858</v>
      </c>
      <c r="G140" s="32" t="s">
        <v>47</v>
      </c>
      <c r="H140" s="32" t="s">
        <v>833</v>
      </c>
      <c r="I140" s="32" t="s">
        <v>786</v>
      </c>
      <c r="J140" s="35" t="s">
        <v>859</v>
      </c>
      <c r="K140" s="32" t="s">
        <v>860</v>
      </c>
      <c r="L140" s="32" t="s">
        <v>861</v>
      </c>
      <c r="M140" s="34" t="s">
        <v>50</v>
      </c>
      <c r="N140" s="32" t="s">
        <v>51</v>
      </c>
      <c r="O140" s="36">
        <v>40</v>
      </c>
      <c r="P140" s="36">
        <v>15</v>
      </c>
      <c r="Q140" s="36">
        <v>1.6</v>
      </c>
      <c r="R140" s="36">
        <v>100</v>
      </c>
      <c r="S140" s="32" t="s">
        <v>862</v>
      </c>
      <c r="T140" s="32"/>
      <c r="U140" s="32" t="s">
        <v>985</v>
      </c>
      <c r="V140" s="32"/>
      <c r="W140" s="32"/>
      <c r="X140" s="32"/>
    </row>
    <row r="141" spans="1:24" ht="42.75" x14ac:dyDescent="0.25">
      <c r="A141" s="32" t="s">
        <v>863</v>
      </c>
      <c r="B141" s="32" t="s">
        <v>786</v>
      </c>
      <c r="C141" s="32" t="s">
        <v>794</v>
      </c>
      <c r="D141" s="33">
        <v>4</v>
      </c>
      <c r="E141" s="32" t="str">
        <f>B141&amp;" Mastery "&amp;INDEX(Tiers!$B$2:$B$6,MATCH(D141,Tiers!$A$2:$A$6,0))</f>
        <v>Hammer Mastery 600</v>
      </c>
      <c r="F141" s="34" t="s">
        <v>864</v>
      </c>
      <c r="G141" s="32" t="s">
        <v>822</v>
      </c>
      <c r="H141" s="32" t="s">
        <v>837</v>
      </c>
      <c r="I141" s="32" t="s">
        <v>786</v>
      </c>
      <c r="J141" s="35" t="s">
        <v>865</v>
      </c>
      <c r="K141" s="32" t="s">
        <v>789</v>
      </c>
      <c r="L141" s="32" t="s">
        <v>866</v>
      </c>
      <c r="M141" s="34" t="s">
        <v>58</v>
      </c>
      <c r="N141" s="32" t="s">
        <v>867</v>
      </c>
      <c r="O141" s="36">
        <v>30</v>
      </c>
      <c r="P141" s="36">
        <v>25</v>
      </c>
      <c r="Q141" s="36">
        <v>2</v>
      </c>
      <c r="R141" s="36">
        <v>150</v>
      </c>
      <c r="S141" s="32" t="s">
        <v>868</v>
      </c>
      <c r="T141" s="32"/>
      <c r="U141" s="32" t="s">
        <v>985</v>
      </c>
      <c r="V141" s="32"/>
      <c r="W141" s="32"/>
      <c r="X141" s="32"/>
    </row>
    <row r="142" spans="1:24" ht="42.75" x14ac:dyDescent="0.25">
      <c r="A142" s="32" t="s">
        <v>869</v>
      </c>
      <c r="B142" s="32" t="s">
        <v>786</v>
      </c>
      <c r="C142" s="32" t="s">
        <v>794</v>
      </c>
      <c r="D142" s="33">
        <v>4</v>
      </c>
      <c r="E142" s="32" t="str">
        <f>B142&amp;" Mastery "&amp;INDEX(Tiers!$B$2:$B$6,MATCH(D142,Tiers!$A$2:$A$6,0))</f>
        <v>Hammer Mastery 600</v>
      </c>
      <c r="F142" s="34" t="s">
        <v>870</v>
      </c>
      <c r="G142" s="32" t="s">
        <v>68</v>
      </c>
      <c r="H142" s="32" t="s">
        <v>811</v>
      </c>
      <c r="I142" s="32" t="s">
        <v>786</v>
      </c>
      <c r="J142" s="35" t="s">
        <v>870</v>
      </c>
      <c r="K142" s="32" t="s">
        <v>789</v>
      </c>
      <c r="L142" s="32" t="s">
        <v>871</v>
      </c>
      <c r="M142" s="34" t="s">
        <v>43</v>
      </c>
      <c r="N142" s="32" t="s">
        <v>872</v>
      </c>
      <c r="O142" s="36">
        <v>25</v>
      </c>
      <c r="P142" s="36">
        <v>25</v>
      </c>
      <c r="Q142" s="36">
        <v>1</v>
      </c>
      <c r="R142" s="36">
        <v>150</v>
      </c>
      <c r="S142" s="32" t="s">
        <v>873</v>
      </c>
      <c r="T142" s="32"/>
      <c r="U142" s="32" t="s">
        <v>985</v>
      </c>
      <c r="V142" s="32"/>
      <c r="W142" s="32"/>
      <c r="X142" s="32"/>
    </row>
    <row r="143" spans="1:24" ht="42.75" x14ac:dyDescent="0.25">
      <c r="A143" s="32" t="s">
        <v>874</v>
      </c>
      <c r="B143" s="32" t="s">
        <v>786</v>
      </c>
      <c r="C143" s="32" t="s">
        <v>787</v>
      </c>
      <c r="D143" s="33">
        <v>4</v>
      </c>
      <c r="E143" s="32" t="str">
        <f>B143&amp;" Mastery "&amp;INDEX(Tiers!$B$2:$B$6,MATCH(D143,Tiers!$A$2:$A$6,0))</f>
        <v>Hammer Mastery 600</v>
      </c>
      <c r="F143" s="34" t="s">
        <v>875</v>
      </c>
      <c r="G143" s="32" t="s">
        <v>828</v>
      </c>
      <c r="H143" s="32" t="s">
        <v>876</v>
      </c>
      <c r="I143" s="32" t="s">
        <v>786</v>
      </c>
      <c r="J143" s="35" t="s">
        <v>877</v>
      </c>
      <c r="K143" s="32" t="s">
        <v>789</v>
      </c>
      <c r="L143" s="32" t="s">
        <v>878</v>
      </c>
      <c r="M143" s="34" t="s">
        <v>50</v>
      </c>
      <c r="N143" s="32" t="s">
        <v>206</v>
      </c>
      <c r="O143" s="36">
        <v>25</v>
      </c>
      <c r="P143" s="36">
        <v>25</v>
      </c>
      <c r="Q143" s="36">
        <v>1</v>
      </c>
      <c r="R143" s="36">
        <v>150</v>
      </c>
      <c r="S143" s="32" t="s">
        <v>873</v>
      </c>
      <c r="T143" s="32"/>
      <c r="U143" s="32" t="s">
        <v>985</v>
      </c>
      <c r="V143" s="32"/>
      <c r="W143" s="32"/>
      <c r="X143" s="32"/>
    </row>
    <row r="144" spans="1:24" ht="42.75" x14ac:dyDescent="0.25">
      <c r="A144" s="32" t="s">
        <v>879</v>
      </c>
      <c r="B144" s="32" t="s">
        <v>786</v>
      </c>
      <c r="C144" s="32" t="s">
        <v>799</v>
      </c>
      <c r="D144" s="33">
        <v>4</v>
      </c>
      <c r="E144" s="32" t="str">
        <f>B144&amp;" Mastery "&amp;INDEX(Tiers!$B$2:$B$6,MATCH(D144,Tiers!$A$2:$A$6,0))</f>
        <v>Hammer Mastery 600</v>
      </c>
      <c r="F144" s="34" t="s">
        <v>880</v>
      </c>
      <c r="G144" s="32" t="s">
        <v>881</v>
      </c>
      <c r="H144" s="32" t="s">
        <v>858</v>
      </c>
      <c r="I144" s="32" t="s">
        <v>786</v>
      </c>
      <c r="J144" s="35" t="s">
        <v>882</v>
      </c>
      <c r="K144" s="32" t="s">
        <v>789</v>
      </c>
      <c r="L144" s="32" t="s">
        <v>883</v>
      </c>
      <c r="M144" s="34" t="s">
        <v>58</v>
      </c>
      <c r="N144" s="32" t="s">
        <v>884</v>
      </c>
      <c r="O144" s="36">
        <v>25</v>
      </c>
      <c r="P144" s="36">
        <v>25</v>
      </c>
      <c r="Q144" s="36">
        <v>1</v>
      </c>
      <c r="R144" s="36">
        <v>150</v>
      </c>
      <c r="S144" s="32" t="s">
        <v>873</v>
      </c>
      <c r="T144" s="32"/>
      <c r="U144" s="32" t="s">
        <v>985</v>
      </c>
      <c r="V144" s="32"/>
      <c r="W144" s="32"/>
      <c r="X144" s="32"/>
    </row>
    <row r="145" spans="1:24" ht="42.75" x14ac:dyDescent="0.25">
      <c r="A145" s="32" t="s">
        <v>885</v>
      </c>
      <c r="B145" s="32" t="s">
        <v>786</v>
      </c>
      <c r="C145" s="32" t="s">
        <v>794</v>
      </c>
      <c r="D145" s="33">
        <v>5</v>
      </c>
      <c r="E145" s="32" t="str">
        <f>B145&amp;" Mastery "&amp;INDEX(Tiers!$B$2:$B$6,MATCH(D145,Tiers!$A$2:$A$6,0))</f>
        <v>Hammer Mastery 900</v>
      </c>
      <c r="F145" s="34" t="s">
        <v>886</v>
      </c>
      <c r="G145" s="32" t="s">
        <v>68</v>
      </c>
      <c r="H145" s="32" t="s">
        <v>887</v>
      </c>
      <c r="I145" s="32" t="s">
        <v>786</v>
      </c>
      <c r="J145" s="35" t="s">
        <v>886</v>
      </c>
      <c r="K145" s="32" t="s">
        <v>789</v>
      </c>
      <c r="L145" s="32" t="s">
        <v>888</v>
      </c>
      <c r="M145" s="34" t="s">
        <v>58</v>
      </c>
      <c r="N145" s="32" t="s">
        <v>889</v>
      </c>
      <c r="O145" s="36">
        <v>90</v>
      </c>
      <c r="P145" s="36">
        <v>50</v>
      </c>
      <c r="Q145" s="36">
        <v>10</v>
      </c>
      <c r="R145" s="36">
        <v>200</v>
      </c>
      <c r="S145" s="32" t="s">
        <v>890</v>
      </c>
      <c r="T145" s="32"/>
      <c r="U145" s="32" t="s">
        <v>985</v>
      </c>
      <c r="V145" s="32"/>
      <c r="W145" s="32"/>
      <c r="X145" s="32"/>
    </row>
    <row r="146" spans="1:24" ht="42.75" x14ac:dyDescent="0.25">
      <c r="A146" s="32" t="s">
        <v>891</v>
      </c>
      <c r="B146" s="32" t="s">
        <v>786</v>
      </c>
      <c r="C146" s="32" t="s">
        <v>799</v>
      </c>
      <c r="D146" s="33">
        <v>5</v>
      </c>
      <c r="E146" s="32" t="str">
        <f>B146&amp;" Mastery "&amp;INDEX(Tiers!$B$2:$B$6,MATCH(D146,Tiers!$A$2:$A$6,0))</f>
        <v>Hammer Mastery 900</v>
      </c>
      <c r="F146" s="34" t="s">
        <v>892</v>
      </c>
      <c r="G146" s="32" t="s">
        <v>47</v>
      </c>
      <c r="H146" s="32" t="s">
        <v>893</v>
      </c>
      <c r="I146" s="32" t="s">
        <v>786</v>
      </c>
      <c r="J146" s="35" t="s">
        <v>894</v>
      </c>
      <c r="K146" s="32" t="s">
        <v>789</v>
      </c>
      <c r="L146" s="32" t="s">
        <v>895</v>
      </c>
      <c r="M146" s="34" t="s">
        <v>50</v>
      </c>
      <c r="N146" s="32" t="s">
        <v>896</v>
      </c>
      <c r="O146" s="36">
        <v>120</v>
      </c>
      <c r="P146" s="36">
        <v>50</v>
      </c>
      <c r="Q146" s="36">
        <v>10</v>
      </c>
      <c r="R146" s="36">
        <v>200</v>
      </c>
      <c r="S146" s="32" t="s">
        <v>890</v>
      </c>
      <c r="T146" s="32"/>
      <c r="U146" s="32" t="s">
        <v>985</v>
      </c>
      <c r="V146" s="32"/>
      <c r="W146" s="32"/>
      <c r="X146" s="32"/>
    </row>
  </sheetData>
  <autoFilter ref="A1:T146" xr:uid="{00000000-0009-0000-0000-000000000000}"/>
  <dataValidations count="2">
    <dataValidation type="list" sqref="D2:D346" xr:uid="{00000000-0002-0000-0000-000000000000}">
      <formula1>"1,2,3,4,5"</formula1>
      <formula2>0</formula2>
    </dataValidation>
    <dataValidation type="list" sqref="B2:B346" xr:uid="{00000000-0002-0000-0000-000001000000}">
      <formula1>"Fire,Earth,Water,Air,Sword,Bow,Hammer"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zoomScaleNormal="100" workbookViewId="0"/>
  </sheetViews>
  <sheetFormatPr defaultColWidth="8.7109375" defaultRowHeight="15" x14ac:dyDescent="0.25"/>
  <cols>
    <col min="1" max="1" width="8" customWidth="1"/>
    <col min="2" max="2" width="18" customWidth="1"/>
    <col min="3" max="3" width="64" customWidth="1"/>
  </cols>
  <sheetData>
    <row r="1" spans="1:3" x14ac:dyDescent="0.25">
      <c r="A1" s="37" t="s">
        <v>3</v>
      </c>
      <c r="B1" s="37" t="s">
        <v>4</v>
      </c>
      <c r="C1" s="37" t="s">
        <v>897</v>
      </c>
    </row>
    <row r="2" spans="1:3" x14ac:dyDescent="0.25">
      <c r="A2" s="38">
        <v>1</v>
      </c>
      <c r="B2" s="39">
        <v>0</v>
      </c>
      <c r="C2" s="38" t="s">
        <v>898</v>
      </c>
    </row>
    <row r="3" spans="1:3" x14ac:dyDescent="0.25">
      <c r="A3" s="38">
        <v>2</v>
      </c>
      <c r="B3" s="39">
        <v>150</v>
      </c>
      <c r="C3" s="38" t="s">
        <v>899</v>
      </c>
    </row>
    <row r="4" spans="1:3" x14ac:dyDescent="0.25">
      <c r="A4" s="38">
        <v>3</v>
      </c>
      <c r="B4" s="39">
        <v>350</v>
      </c>
      <c r="C4" s="38" t="s">
        <v>900</v>
      </c>
    </row>
    <row r="5" spans="1:3" x14ac:dyDescent="0.25">
      <c r="A5" s="38">
        <v>4</v>
      </c>
      <c r="B5" s="39">
        <v>600</v>
      </c>
      <c r="C5" s="38" t="s">
        <v>901</v>
      </c>
    </row>
    <row r="6" spans="1:3" x14ac:dyDescent="0.25">
      <c r="A6" s="38">
        <v>5</v>
      </c>
      <c r="B6" s="39">
        <v>900</v>
      </c>
      <c r="C6" s="38" t="s">
        <v>902</v>
      </c>
    </row>
    <row r="8" spans="1:3" x14ac:dyDescent="0.25">
      <c r="A8" s="40" t="s">
        <v>903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"/>
  <sheetViews>
    <sheetView zoomScaleNormal="100" workbookViewId="0"/>
  </sheetViews>
  <sheetFormatPr defaultColWidth="8.7109375" defaultRowHeight="15" x14ac:dyDescent="0.25"/>
  <cols>
    <col min="1" max="1" width="12" customWidth="1"/>
    <col min="2" max="2" width="13" customWidth="1"/>
    <col min="3" max="3" width="20" customWidth="1"/>
    <col min="4" max="4" width="26" customWidth="1"/>
    <col min="5" max="5" width="40" customWidth="1"/>
    <col min="6" max="6" width="10" customWidth="1"/>
    <col min="7" max="11" width="8" customWidth="1"/>
  </cols>
  <sheetData>
    <row r="1" spans="1:11" x14ac:dyDescent="0.25">
      <c r="A1" s="37" t="s">
        <v>1</v>
      </c>
      <c r="B1" s="37" t="s">
        <v>8</v>
      </c>
      <c r="C1" s="37" t="s">
        <v>904</v>
      </c>
      <c r="D1" s="37" t="s">
        <v>905</v>
      </c>
      <c r="E1" s="37" t="s">
        <v>906</v>
      </c>
      <c r="F1" s="37" t="s">
        <v>907</v>
      </c>
      <c r="G1" s="37" t="s">
        <v>908</v>
      </c>
      <c r="H1" s="37" t="s">
        <v>909</v>
      </c>
      <c r="I1" s="37" t="s">
        <v>910</v>
      </c>
      <c r="J1" s="37" t="s">
        <v>911</v>
      </c>
      <c r="K1" s="37" t="s">
        <v>912</v>
      </c>
    </row>
    <row r="2" spans="1:11" x14ac:dyDescent="0.25">
      <c r="A2" s="41" t="s">
        <v>21</v>
      </c>
      <c r="B2" s="41" t="s">
        <v>26</v>
      </c>
      <c r="C2" s="41" t="s">
        <v>913</v>
      </c>
      <c r="D2" s="41" t="s">
        <v>914</v>
      </c>
      <c r="E2" s="41" t="s">
        <v>915</v>
      </c>
      <c r="F2" s="41">
        <f>COUNTIF(Abilities!$B:$B,A2)</f>
        <v>21</v>
      </c>
      <c r="G2" s="41">
        <f>COUNTIFS(Abilities!$B:$B,$A2,Abilities!$D:$D,1)</f>
        <v>4</v>
      </c>
      <c r="H2" s="41">
        <f>COUNTIFS(Abilities!$B:$B,$A2,Abilities!$D:$D,2)</f>
        <v>5</v>
      </c>
      <c r="I2" s="41">
        <f>COUNTIFS(Abilities!$B:$B,$A2,Abilities!$D:$D,3)</f>
        <v>5</v>
      </c>
      <c r="J2" s="41">
        <f>COUNTIFS(Abilities!$B:$B,$A2,Abilities!$D:$D,4)</f>
        <v>4</v>
      </c>
      <c r="K2" s="41">
        <f>COUNTIFS(Abilities!$B:$B,$A2,Abilities!$D:$D,5)</f>
        <v>3</v>
      </c>
    </row>
    <row r="3" spans="1:11" ht="28.5" x14ac:dyDescent="0.25">
      <c r="A3" s="41" t="s">
        <v>157</v>
      </c>
      <c r="B3" s="41" t="s">
        <v>26</v>
      </c>
      <c r="C3" s="41" t="s">
        <v>176</v>
      </c>
      <c r="D3" s="41" t="s">
        <v>916</v>
      </c>
      <c r="E3" s="41" t="s">
        <v>917</v>
      </c>
      <c r="F3" s="41">
        <f>COUNTIF(Abilities!$B:$B,A3)</f>
        <v>20</v>
      </c>
      <c r="G3" s="41">
        <f>COUNTIFS(Abilities!$B:$B,$A3,Abilities!$D:$D,1)</f>
        <v>4</v>
      </c>
      <c r="H3" s="41">
        <f>COUNTIFS(Abilities!$B:$B,$A3,Abilities!$D:$D,2)</f>
        <v>5</v>
      </c>
      <c r="I3" s="41">
        <f>COUNTIFS(Abilities!$B:$B,$A3,Abilities!$D:$D,3)</f>
        <v>5</v>
      </c>
      <c r="J3" s="41">
        <f>COUNTIFS(Abilities!$B:$B,$A3,Abilities!$D:$D,4)</f>
        <v>4</v>
      </c>
      <c r="K3" s="41">
        <f>COUNTIFS(Abilities!$B:$B,$A3,Abilities!$D:$D,5)</f>
        <v>2</v>
      </c>
    </row>
    <row r="4" spans="1:11" x14ac:dyDescent="0.25">
      <c r="A4" s="41" t="s">
        <v>286</v>
      </c>
      <c r="B4" s="41" t="s">
        <v>26</v>
      </c>
      <c r="C4" s="41" t="s">
        <v>371</v>
      </c>
      <c r="D4" s="41" t="s">
        <v>918</v>
      </c>
      <c r="E4" s="41" t="s">
        <v>919</v>
      </c>
      <c r="F4" s="41">
        <f>COUNTIF(Abilities!$B:$B,A4)</f>
        <v>23</v>
      </c>
      <c r="G4" s="41">
        <f>COUNTIFS(Abilities!$B:$B,$A4,Abilities!$D:$D,1)</f>
        <v>4</v>
      </c>
      <c r="H4" s="41">
        <f>COUNTIFS(Abilities!$B:$B,$A4,Abilities!$D:$D,2)</f>
        <v>5</v>
      </c>
      <c r="I4" s="41">
        <f>COUNTIFS(Abilities!$B:$B,$A4,Abilities!$D:$D,3)</f>
        <v>5</v>
      </c>
      <c r="J4" s="41">
        <f>COUNTIFS(Abilities!$B:$B,$A4,Abilities!$D:$D,4)</f>
        <v>6</v>
      </c>
      <c r="K4" s="41">
        <f>COUNTIFS(Abilities!$B:$B,$A4,Abilities!$D:$D,5)</f>
        <v>3</v>
      </c>
    </row>
    <row r="5" spans="1:11" x14ac:dyDescent="0.25">
      <c r="A5" s="41" t="s">
        <v>433</v>
      </c>
      <c r="B5" s="41" t="s">
        <v>26</v>
      </c>
      <c r="C5" s="41" t="s">
        <v>453</v>
      </c>
      <c r="D5" s="41" t="s">
        <v>920</v>
      </c>
      <c r="E5" s="41" t="s">
        <v>921</v>
      </c>
      <c r="F5" s="41">
        <f>COUNTIF(Abilities!$B:$B,A5)</f>
        <v>21</v>
      </c>
      <c r="G5" s="41">
        <f>COUNTIFS(Abilities!$B:$B,$A5,Abilities!$D:$D,1)</f>
        <v>4</v>
      </c>
      <c r="H5" s="41">
        <f>COUNTIFS(Abilities!$B:$B,$A5,Abilities!$D:$D,2)</f>
        <v>5</v>
      </c>
      <c r="I5" s="41">
        <f>COUNTIFS(Abilities!$B:$B,$A5,Abilities!$D:$D,3)</f>
        <v>5</v>
      </c>
      <c r="J5" s="41">
        <f>COUNTIFS(Abilities!$B:$B,$A5,Abilities!$D:$D,4)</f>
        <v>5</v>
      </c>
      <c r="K5" s="41">
        <f>COUNTIFS(Abilities!$B:$B,$A5,Abilities!$D:$D,5)</f>
        <v>2</v>
      </c>
    </row>
    <row r="6" spans="1:11" x14ac:dyDescent="0.25">
      <c r="A6" s="41" t="s">
        <v>554</v>
      </c>
      <c r="B6" s="41" t="s">
        <v>554</v>
      </c>
      <c r="C6" s="41" t="s">
        <v>605</v>
      </c>
      <c r="D6" s="41" t="s">
        <v>922</v>
      </c>
      <c r="E6" s="41" t="s">
        <v>923</v>
      </c>
      <c r="F6" s="41">
        <f>COUNTIF(Abilities!$B:$B,A6)</f>
        <v>20</v>
      </c>
      <c r="G6" s="41">
        <f>COUNTIFS(Abilities!$B:$B,$A6,Abilities!$D:$D,1)</f>
        <v>4</v>
      </c>
      <c r="H6" s="41">
        <f>COUNTIFS(Abilities!$B:$B,$A6,Abilities!$D:$D,2)</f>
        <v>5</v>
      </c>
      <c r="I6" s="41">
        <f>COUNTIFS(Abilities!$B:$B,$A6,Abilities!$D:$D,3)</f>
        <v>5</v>
      </c>
      <c r="J6" s="41">
        <f>COUNTIFS(Abilities!$B:$B,$A6,Abilities!$D:$D,4)</f>
        <v>4</v>
      </c>
      <c r="K6" s="41">
        <f>COUNTIFS(Abilities!$B:$B,$A6,Abilities!$D:$D,5)</f>
        <v>2</v>
      </c>
    </row>
    <row r="7" spans="1:11" x14ac:dyDescent="0.25">
      <c r="A7" s="41" t="s">
        <v>668</v>
      </c>
      <c r="B7" s="41" t="s">
        <v>668</v>
      </c>
      <c r="C7" s="41" t="s">
        <v>685</v>
      </c>
      <c r="D7" s="41" t="s">
        <v>924</v>
      </c>
      <c r="E7" s="41" t="s">
        <v>925</v>
      </c>
      <c r="F7" s="41">
        <f>COUNTIF(Abilities!$B:$B,A7)</f>
        <v>20</v>
      </c>
      <c r="G7" s="41">
        <f>COUNTIFS(Abilities!$B:$B,$A7,Abilities!$D:$D,1)</f>
        <v>4</v>
      </c>
      <c r="H7" s="41">
        <f>COUNTIFS(Abilities!$B:$B,$A7,Abilities!$D:$D,2)</f>
        <v>5</v>
      </c>
      <c r="I7" s="41">
        <f>COUNTIFS(Abilities!$B:$B,$A7,Abilities!$D:$D,3)</f>
        <v>5</v>
      </c>
      <c r="J7" s="41">
        <f>COUNTIFS(Abilities!$B:$B,$A7,Abilities!$D:$D,4)</f>
        <v>4</v>
      </c>
      <c r="K7" s="41">
        <f>COUNTIFS(Abilities!$B:$B,$A7,Abilities!$D:$D,5)</f>
        <v>2</v>
      </c>
    </row>
    <row r="8" spans="1:11" x14ac:dyDescent="0.25">
      <c r="A8" s="41" t="s">
        <v>786</v>
      </c>
      <c r="B8" s="41" t="s">
        <v>786</v>
      </c>
      <c r="C8" s="41" t="s">
        <v>860</v>
      </c>
      <c r="D8" s="41" t="s">
        <v>926</v>
      </c>
      <c r="E8" s="41" t="s">
        <v>927</v>
      </c>
      <c r="F8" s="41">
        <f>COUNTIF(Abilities!$B:$B,A8)</f>
        <v>20</v>
      </c>
      <c r="G8" s="41">
        <f>COUNTIFS(Abilities!$B:$B,$A8,Abilities!$D:$D,1)</f>
        <v>4</v>
      </c>
      <c r="H8" s="41">
        <f>COUNTIFS(Abilities!$B:$B,$A8,Abilities!$D:$D,2)</f>
        <v>5</v>
      </c>
      <c r="I8" s="41">
        <f>COUNTIFS(Abilities!$B:$B,$A8,Abilities!$D:$D,3)</f>
        <v>5</v>
      </c>
      <c r="J8" s="41">
        <f>COUNTIFS(Abilities!$B:$B,$A8,Abilities!$D:$D,4)</f>
        <v>4</v>
      </c>
      <c r="K8" s="41">
        <f>COUNTIFS(Abilities!$B:$B,$A8,Abilities!$D:$D,5)</f>
        <v>2</v>
      </c>
    </row>
    <row r="9" spans="1:11" x14ac:dyDescent="0.25">
      <c r="A9" s="42" t="s">
        <v>928</v>
      </c>
      <c r="B9" s="42"/>
      <c r="C9" s="42"/>
      <c r="D9" s="42"/>
      <c r="E9" s="42"/>
      <c r="F9" s="42">
        <f t="shared" ref="F9:K9" si="0">SUM(F2:F8)</f>
        <v>145</v>
      </c>
      <c r="G9" s="42">
        <f t="shared" si="0"/>
        <v>28</v>
      </c>
      <c r="H9" s="42">
        <f t="shared" si="0"/>
        <v>35</v>
      </c>
      <c r="I9" s="42">
        <f t="shared" si="0"/>
        <v>35</v>
      </c>
      <c r="J9" s="42">
        <f t="shared" si="0"/>
        <v>31</v>
      </c>
      <c r="K9" s="42">
        <f t="shared" si="0"/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zoomScaleNormal="100" workbookViewId="0"/>
  </sheetViews>
  <sheetFormatPr defaultColWidth="8.7109375" defaultRowHeight="15" x14ac:dyDescent="0.25"/>
  <cols>
    <col min="1" max="1" width="18" customWidth="1"/>
    <col min="2" max="2" width="100" customWidth="1"/>
  </cols>
  <sheetData>
    <row r="1" spans="1:2" x14ac:dyDescent="0.25">
      <c r="A1" s="43" t="s">
        <v>929</v>
      </c>
      <c r="B1" s="44"/>
    </row>
    <row r="2" spans="1:2" ht="28.5" x14ac:dyDescent="0.25">
      <c r="A2" s="45" t="s">
        <v>930</v>
      </c>
      <c r="B2" s="41" t="s">
        <v>931</v>
      </c>
    </row>
    <row r="3" spans="1:2" ht="28.5" x14ac:dyDescent="0.25">
      <c r="A3" s="45" t="s">
        <v>932</v>
      </c>
      <c r="B3" s="41" t="s">
        <v>933</v>
      </c>
    </row>
    <row r="4" spans="1:2" ht="28.5" x14ac:dyDescent="0.25">
      <c r="A4" s="45" t="s">
        <v>934</v>
      </c>
      <c r="B4" s="41" t="s">
        <v>935</v>
      </c>
    </row>
    <row r="5" spans="1:2" ht="28.5" x14ac:dyDescent="0.25">
      <c r="A5" s="45" t="s">
        <v>936</v>
      </c>
      <c r="B5" s="41" t="s">
        <v>937</v>
      </c>
    </row>
    <row r="6" spans="1:2" ht="28.5" x14ac:dyDescent="0.25">
      <c r="A6" s="45" t="s">
        <v>938</v>
      </c>
      <c r="B6" s="41" t="s">
        <v>939</v>
      </c>
    </row>
    <row r="7" spans="1:2" x14ac:dyDescent="0.25">
      <c r="A7" s="45"/>
      <c r="B7" s="41"/>
    </row>
    <row r="8" spans="1:2" x14ac:dyDescent="0.25">
      <c r="A8" s="43" t="s">
        <v>940</v>
      </c>
      <c r="B8" s="44"/>
    </row>
    <row r="9" spans="1:2" ht="28.5" x14ac:dyDescent="0.25">
      <c r="A9" s="45" t="s">
        <v>941</v>
      </c>
      <c r="B9" s="41" t="s">
        <v>942</v>
      </c>
    </row>
    <row r="10" spans="1:2" x14ac:dyDescent="0.25">
      <c r="A10" s="45" t="s">
        <v>7</v>
      </c>
      <c r="B10" s="41" t="s">
        <v>943</v>
      </c>
    </row>
    <row r="11" spans="1:2" x14ac:dyDescent="0.25">
      <c r="A11" s="45" t="s">
        <v>944</v>
      </c>
      <c r="B11" s="41" t="s">
        <v>945</v>
      </c>
    </row>
    <row r="12" spans="1:2" x14ac:dyDescent="0.25">
      <c r="A12" s="45" t="s">
        <v>946</v>
      </c>
      <c r="B12" s="41" t="s">
        <v>947</v>
      </c>
    </row>
    <row r="13" spans="1:2" x14ac:dyDescent="0.25">
      <c r="A13" s="45"/>
      <c r="B13" s="41"/>
    </row>
    <row r="14" spans="1:2" x14ac:dyDescent="0.25">
      <c r="A14" s="43" t="s">
        <v>12</v>
      </c>
      <c r="B14" s="44"/>
    </row>
    <row r="15" spans="1:2" ht="28.5" x14ac:dyDescent="0.25">
      <c r="A15" s="45" t="s">
        <v>30</v>
      </c>
      <c r="B15" s="41" t="s">
        <v>948</v>
      </c>
    </row>
    <row r="16" spans="1:2" ht="28.5" x14ac:dyDescent="0.25">
      <c r="A16" s="45" t="s">
        <v>43</v>
      </c>
      <c r="B16" s="41" t="s">
        <v>949</v>
      </c>
    </row>
    <row r="17" spans="1:2" x14ac:dyDescent="0.25">
      <c r="A17" s="45" t="s">
        <v>58</v>
      </c>
      <c r="B17" s="41" t="s">
        <v>950</v>
      </c>
    </row>
    <row r="18" spans="1:2" x14ac:dyDescent="0.25">
      <c r="A18" s="45" t="s">
        <v>50</v>
      </c>
      <c r="B18" s="41" t="s">
        <v>951</v>
      </c>
    </row>
    <row r="19" spans="1:2" ht="28.5" x14ac:dyDescent="0.25">
      <c r="A19" s="45" t="s">
        <v>952</v>
      </c>
      <c r="B19" s="41" t="s">
        <v>953</v>
      </c>
    </row>
    <row r="20" spans="1:2" x14ac:dyDescent="0.25">
      <c r="A20" s="45"/>
      <c r="B20" s="41"/>
    </row>
    <row r="21" spans="1:2" x14ac:dyDescent="0.25">
      <c r="A21" s="43" t="s">
        <v>954</v>
      </c>
      <c r="B21" s="44"/>
    </row>
    <row r="22" spans="1:2" x14ac:dyDescent="0.25">
      <c r="A22" s="45" t="s">
        <v>955</v>
      </c>
      <c r="B22" s="41" t="s">
        <v>956</v>
      </c>
    </row>
    <row r="23" spans="1:2" ht="28.5" x14ac:dyDescent="0.25">
      <c r="A23" s="45" t="s">
        <v>957</v>
      </c>
      <c r="B23" s="41" t="s">
        <v>958</v>
      </c>
    </row>
    <row r="24" spans="1:2" ht="42.75" x14ac:dyDescent="0.25">
      <c r="A24" s="45" t="s">
        <v>959</v>
      </c>
      <c r="B24" s="41" t="s">
        <v>960</v>
      </c>
    </row>
    <row r="25" spans="1:2" ht="28.5" x14ac:dyDescent="0.25">
      <c r="A25" s="45" t="s">
        <v>961</v>
      </c>
      <c r="B25" s="41" t="s">
        <v>962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4F233-3DD8-430F-97D9-38ED07DEBAB9}">
  <dimension ref="A1:E66"/>
  <sheetViews>
    <sheetView topLeftCell="A60" workbookViewId="0">
      <selection activeCell="A65" sqref="A65:E65"/>
    </sheetView>
  </sheetViews>
  <sheetFormatPr defaultRowHeight="15" x14ac:dyDescent="0.25"/>
  <cols>
    <col min="1" max="1" width="22.7109375" customWidth="1"/>
    <col min="2" max="2" width="30.7109375" customWidth="1"/>
    <col min="3" max="3" width="34.7109375" customWidth="1"/>
    <col min="4" max="4" width="30.7109375" customWidth="1"/>
    <col min="5" max="5" width="50.7109375" customWidth="1"/>
  </cols>
  <sheetData>
    <row r="1" spans="1:5" x14ac:dyDescent="0.25">
      <c r="A1" s="49" t="s">
        <v>1020</v>
      </c>
      <c r="B1" s="49"/>
      <c r="C1" s="49"/>
      <c r="D1" s="49"/>
      <c r="E1" s="49"/>
    </row>
    <row r="2" spans="1:5" ht="27" customHeight="1" x14ac:dyDescent="0.25">
      <c r="A2" s="47" t="s">
        <v>1021</v>
      </c>
      <c r="B2" s="48" t="s">
        <v>1022</v>
      </c>
      <c r="C2" s="48"/>
      <c r="D2" s="48"/>
      <c r="E2" s="48"/>
    </row>
    <row r="3" spans="1:5" ht="27" customHeight="1" x14ac:dyDescent="0.25">
      <c r="A3" s="47" t="s">
        <v>1023</v>
      </c>
      <c r="B3" s="48" t="s">
        <v>1024</v>
      </c>
      <c r="C3" s="48"/>
      <c r="D3" s="48"/>
      <c r="E3" s="48"/>
    </row>
    <row r="4" spans="1:5" ht="27" customHeight="1" x14ac:dyDescent="0.25">
      <c r="A4" s="47" t="s">
        <v>1025</v>
      </c>
      <c r="B4" s="48" t="s">
        <v>1026</v>
      </c>
      <c r="C4" s="48"/>
      <c r="D4" s="48"/>
      <c r="E4" s="48"/>
    </row>
    <row r="5" spans="1:5" ht="13.5" customHeight="1" x14ac:dyDescent="0.25">
      <c r="A5" s="47" t="s">
        <v>1027</v>
      </c>
      <c r="B5" s="48" t="s">
        <v>1028</v>
      </c>
      <c r="C5" s="48"/>
      <c r="D5" s="48"/>
      <c r="E5" s="48"/>
    </row>
    <row r="6" spans="1:5" ht="27" customHeight="1" x14ac:dyDescent="0.25">
      <c r="A6" s="47" t="s">
        <v>1029</v>
      </c>
      <c r="B6" s="48" t="s">
        <v>1030</v>
      </c>
      <c r="C6" s="48"/>
      <c r="D6" s="48"/>
      <c r="E6" s="48"/>
    </row>
    <row r="7" spans="1:5" ht="13.5" customHeight="1" x14ac:dyDescent="0.25">
      <c r="A7" s="47" t="s">
        <v>1031</v>
      </c>
      <c r="B7" s="48" t="s">
        <v>1032</v>
      </c>
      <c r="C7" s="48"/>
      <c r="D7" s="48"/>
      <c r="E7" s="48"/>
    </row>
    <row r="8" spans="1:5" x14ac:dyDescent="0.25">
      <c r="A8" s="46"/>
      <c r="B8" s="46"/>
      <c r="C8" s="46"/>
      <c r="D8" s="46"/>
      <c r="E8" s="46"/>
    </row>
    <row r="9" spans="1:5" x14ac:dyDescent="0.25">
      <c r="A9" s="49" t="s">
        <v>1033</v>
      </c>
      <c r="B9" s="49"/>
      <c r="C9" s="49"/>
      <c r="D9" s="49"/>
      <c r="E9" s="49"/>
    </row>
    <row r="10" spans="1:5" x14ac:dyDescent="0.25">
      <c r="A10" s="50" t="s">
        <v>1034</v>
      </c>
      <c r="B10" s="50" t="s">
        <v>1035</v>
      </c>
      <c r="C10" s="50" t="s">
        <v>1036</v>
      </c>
      <c r="D10" s="50" t="s">
        <v>1037</v>
      </c>
      <c r="E10" s="50" t="s">
        <v>19</v>
      </c>
    </row>
    <row r="11" spans="1:5" x14ac:dyDescent="0.25">
      <c r="A11" s="47" t="s">
        <v>1038</v>
      </c>
      <c r="B11" s="47" t="s">
        <v>1039</v>
      </c>
      <c r="C11" s="47" t="s">
        <v>1040</v>
      </c>
      <c r="D11" s="47" t="s">
        <v>1041</v>
      </c>
      <c r="E11" s="47" t="s">
        <v>1162</v>
      </c>
    </row>
    <row r="12" spans="1:5" ht="28.5" x14ac:dyDescent="0.25">
      <c r="A12" s="47" t="s">
        <v>1042</v>
      </c>
      <c r="B12" s="47" t="s">
        <v>1043</v>
      </c>
      <c r="C12" s="47" t="s">
        <v>1040</v>
      </c>
      <c r="D12" s="47" t="s">
        <v>1044</v>
      </c>
      <c r="E12" s="47" t="s">
        <v>1045</v>
      </c>
    </row>
    <row r="13" spans="1:5" ht="28.5" x14ac:dyDescent="0.25">
      <c r="A13" s="47" t="s">
        <v>1046</v>
      </c>
      <c r="B13" s="47" t="s">
        <v>1047</v>
      </c>
      <c r="C13" s="47" t="s">
        <v>1048</v>
      </c>
      <c r="D13" s="47" t="s">
        <v>1049</v>
      </c>
      <c r="E13" s="47" t="s">
        <v>1050</v>
      </c>
    </row>
    <row r="14" spans="1:5" ht="28.5" x14ac:dyDescent="0.25">
      <c r="A14" s="47" t="s">
        <v>1051</v>
      </c>
      <c r="B14" s="47" t="s">
        <v>1052</v>
      </c>
      <c r="C14" s="47" t="s">
        <v>1053</v>
      </c>
      <c r="D14" s="47" t="s">
        <v>1054</v>
      </c>
      <c r="E14" s="47" t="s">
        <v>1162</v>
      </c>
    </row>
    <row r="15" spans="1:5" x14ac:dyDescent="0.25">
      <c r="A15" s="46"/>
      <c r="B15" s="46"/>
      <c r="C15" s="46"/>
      <c r="D15" s="46"/>
      <c r="E15" s="46"/>
    </row>
    <row r="16" spans="1:5" x14ac:dyDescent="0.25">
      <c r="A16" s="49" t="s">
        <v>1055</v>
      </c>
      <c r="B16" s="49"/>
      <c r="C16" s="49"/>
      <c r="D16" s="49"/>
      <c r="E16" s="49"/>
    </row>
    <row r="17" spans="1:5" x14ac:dyDescent="0.25">
      <c r="A17" s="50" t="s">
        <v>1056</v>
      </c>
      <c r="B17" s="50" t="s">
        <v>1038</v>
      </c>
      <c r="C17" s="50" t="s">
        <v>1046</v>
      </c>
      <c r="D17" s="50" t="s">
        <v>1057</v>
      </c>
      <c r="E17" s="50" t="s">
        <v>1058</v>
      </c>
    </row>
    <row r="18" spans="1:5" x14ac:dyDescent="0.25">
      <c r="A18" s="47" t="s">
        <v>1059</v>
      </c>
      <c r="B18" s="47" t="s">
        <v>1060</v>
      </c>
      <c r="C18" s="47" t="s">
        <v>1061</v>
      </c>
      <c r="D18" s="47" t="s">
        <v>1163</v>
      </c>
      <c r="E18" s="47" t="s">
        <v>1062</v>
      </c>
    </row>
    <row r="19" spans="1:5" ht="42.75" x14ac:dyDescent="0.25">
      <c r="A19" s="47" t="s">
        <v>1063</v>
      </c>
      <c r="B19" s="47" t="s">
        <v>1064</v>
      </c>
      <c r="C19" s="47" t="s">
        <v>1065</v>
      </c>
      <c r="D19" s="47" t="s">
        <v>1066</v>
      </c>
      <c r="E19" s="47" t="s">
        <v>1062</v>
      </c>
    </row>
    <row r="20" spans="1:5" x14ac:dyDescent="0.25">
      <c r="A20" s="47" t="s">
        <v>1067</v>
      </c>
      <c r="B20" s="47" t="s">
        <v>1068</v>
      </c>
      <c r="C20" s="47" t="s">
        <v>1069</v>
      </c>
      <c r="D20" s="47" t="s">
        <v>1164</v>
      </c>
      <c r="E20" s="47" t="s">
        <v>1070</v>
      </c>
    </row>
    <row r="21" spans="1:5" ht="27" customHeight="1" x14ac:dyDescent="0.25">
      <c r="A21" s="47" t="s">
        <v>1071</v>
      </c>
      <c r="B21" s="48" t="s">
        <v>1072</v>
      </c>
      <c r="C21" s="48"/>
      <c r="D21" s="48"/>
      <c r="E21" s="48"/>
    </row>
    <row r="22" spans="1:5" ht="13.5" customHeight="1" x14ac:dyDescent="0.25">
      <c r="A22" s="47" t="s">
        <v>1058</v>
      </c>
      <c r="B22" s="48" t="s">
        <v>1073</v>
      </c>
      <c r="C22" s="48"/>
      <c r="D22" s="48"/>
      <c r="E22" s="48"/>
    </row>
    <row r="23" spans="1:5" ht="13.5" customHeight="1" x14ac:dyDescent="0.25">
      <c r="A23" s="47" t="s">
        <v>1074</v>
      </c>
      <c r="B23" s="48" t="s">
        <v>1165</v>
      </c>
      <c r="C23" s="48"/>
      <c r="D23" s="48"/>
      <c r="E23" s="48"/>
    </row>
    <row r="24" spans="1:5" x14ac:dyDescent="0.25">
      <c r="A24" s="46"/>
      <c r="B24" s="46"/>
      <c r="C24" s="46"/>
      <c r="D24" s="46"/>
      <c r="E24" s="46"/>
    </row>
    <row r="25" spans="1:5" x14ac:dyDescent="0.25">
      <c r="A25" s="49" t="s">
        <v>1075</v>
      </c>
      <c r="B25" s="49"/>
      <c r="C25" s="49"/>
      <c r="D25" s="49"/>
      <c r="E25" s="49"/>
    </row>
    <row r="26" spans="1:5" ht="27" customHeight="1" x14ac:dyDescent="0.25">
      <c r="A26" s="47" t="s">
        <v>1076</v>
      </c>
      <c r="B26" s="48" t="s">
        <v>1077</v>
      </c>
      <c r="C26" s="48"/>
      <c r="D26" s="48"/>
      <c r="E26" s="48"/>
    </row>
    <row r="27" spans="1:5" ht="13.5" customHeight="1" x14ac:dyDescent="0.25">
      <c r="A27" s="47" t="s">
        <v>1057</v>
      </c>
      <c r="B27" s="48" t="s">
        <v>1078</v>
      </c>
      <c r="C27" s="48"/>
      <c r="D27" s="48"/>
      <c r="E27" s="48"/>
    </row>
    <row r="28" spans="1:5" ht="27" customHeight="1" x14ac:dyDescent="0.25">
      <c r="A28" s="47" t="s">
        <v>1079</v>
      </c>
      <c r="B28" s="48" t="s">
        <v>1080</v>
      </c>
      <c r="C28" s="48"/>
      <c r="D28" s="48"/>
      <c r="E28" s="48"/>
    </row>
    <row r="29" spans="1:5" ht="27" customHeight="1" x14ac:dyDescent="0.25">
      <c r="A29" s="47" t="s">
        <v>1081</v>
      </c>
      <c r="B29" s="48" t="s">
        <v>1082</v>
      </c>
      <c r="C29" s="48"/>
      <c r="D29" s="48"/>
      <c r="E29" s="48"/>
    </row>
    <row r="30" spans="1:5" ht="13.5" customHeight="1" x14ac:dyDescent="0.25">
      <c r="A30" s="47" t="s">
        <v>1083</v>
      </c>
      <c r="B30" s="48" t="s">
        <v>1084</v>
      </c>
      <c r="C30" s="48"/>
      <c r="D30" s="48"/>
      <c r="E30" s="48"/>
    </row>
    <row r="31" spans="1:5" ht="27" customHeight="1" x14ac:dyDescent="0.25">
      <c r="A31" s="47" t="s">
        <v>1085</v>
      </c>
      <c r="B31" s="48" t="s">
        <v>1166</v>
      </c>
      <c r="C31" s="48"/>
      <c r="D31" s="48"/>
      <c r="E31" s="48"/>
    </row>
    <row r="32" spans="1:5" x14ac:dyDescent="0.25">
      <c r="A32" s="46"/>
      <c r="B32" s="46"/>
      <c r="C32" s="46"/>
      <c r="D32" s="46"/>
      <c r="E32" s="46"/>
    </row>
    <row r="33" spans="1:5" x14ac:dyDescent="0.25">
      <c r="A33" s="49" t="s">
        <v>1086</v>
      </c>
      <c r="B33" s="49"/>
      <c r="C33" s="49"/>
      <c r="D33" s="49"/>
      <c r="E33" s="49"/>
    </row>
    <row r="34" spans="1:5" ht="13.5" customHeight="1" x14ac:dyDescent="0.25">
      <c r="A34" s="47" t="s">
        <v>1087</v>
      </c>
      <c r="B34" s="48" t="s">
        <v>1088</v>
      </c>
      <c r="C34" s="48"/>
      <c r="D34" s="48"/>
      <c r="E34" s="48"/>
    </row>
    <row r="35" spans="1:5" ht="27" customHeight="1" x14ac:dyDescent="0.25">
      <c r="A35" s="47" t="s">
        <v>1089</v>
      </c>
      <c r="B35" s="48" t="s">
        <v>1090</v>
      </c>
      <c r="C35" s="48"/>
      <c r="D35" s="48"/>
      <c r="E35" s="48"/>
    </row>
    <row r="36" spans="1:5" ht="13.5" customHeight="1" x14ac:dyDescent="0.25">
      <c r="A36" s="47" t="s">
        <v>1091</v>
      </c>
      <c r="B36" s="48" t="s">
        <v>1092</v>
      </c>
      <c r="C36" s="48"/>
      <c r="D36" s="48"/>
      <c r="E36" s="48"/>
    </row>
    <row r="37" spans="1:5" ht="13.5" customHeight="1" x14ac:dyDescent="0.25">
      <c r="A37" s="47" t="s">
        <v>1093</v>
      </c>
      <c r="B37" s="48" t="s">
        <v>1094</v>
      </c>
      <c r="C37" s="48"/>
      <c r="D37" s="48"/>
      <c r="E37" s="48"/>
    </row>
    <row r="38" spans="1:5" x14ac:dyDescent="0.25">
      <c r="A38" s="46"/>
      <c r="B38" s="46"/>
      <c r="C38" s="46"/>
      <c r="D38" s="46"/>
      <c r="E38" s="46"/>
    </row>
    <row r="39" spans="1:5" x14ac:dyDescent="0.25">
      <c r="A39" s="49" t="s">
        <v>1095</v>
      </c>
      <c r="B39" s="49"/>
      <c r="C39" s="49"/>
      <c r="D39" s="49"/>
      <c r="E39" s="49"/>
    </row>
    <row r="40" spans="1:5" ht="27" customHeight="1" x14ac:dyDescent="0.25">
      <c r="A40" s="47" t="s">
        <v>1096</v>
      </c>
      <c r="B40" s="48" t="s">
        <v>1097</v>
      </c>
      <c r="C40" s="48"/>
      <c r="D40" s="48"/>
      <c r="E40" s="48"/>
    </row>
    <row r="41" spans="1:5" ht="27" customHeight="1" x14ac:dyDescent="0.25">
      <c r="A41" s="47" t="s">
        <v>1098</v>
      </c>
      <c r="B41" s="48" t="s">
        <v>1099</v>
      </c>
      <c r="C41" s="48"/>
      <c r="D41" s="48"/>
      <c r="E41" s="48"/>
    </row>
    <row r="42" spans="1:5" ht="27" customHeight="1" x14ac:dyDescent="0.25">
      <c r="A42" s="47" t="s">
        <v>1100</v>
      </c>
      <c r="B42" s="48" t="s">
        <v>1101</v>
      </c>
      <c r="C42" s="48"/>
      <c r="D42" s="48"/>
      <c r="E42" s="48"/>
    </row>
    <row r="43" spans="1:5" x14ac:dyDescent="0.25">
      <c r="A43" s="46"/>
      <c r="B43" s="46"/>
      <c r="C43" s="46"/>
      <c r="D43" s="46"/>
      <c r="E43" s="46"/>
    </row>
    <row r="44" spans="1:5" x14ac:dyDescent="0.25">
      <c r="A44" s="49" t="s">
        <v>1102</v>
      </c>
      <c r="B44" s="49"/>
      <c r="C44" s="49"/>
      <c r="D44" s="49"/>
      <c r="E44" s="49"/>
    </row>
    <row r="45" spans="1:5" ht="27" customHeight="1" x14ac:dyDescent="0.25">
      <c r="A45" s="47" t="s">
        <v>963</v>
      </c>
      <c r="B45" s="48" t="s">
        <v>1103</v>
      </c>
      <c r="C45" s="48"/>
      <c r="D45" s="48"/>
      <c r="E45" s="48"/>
    </row>
    <row r="46" spans="1:5" ht="13.5" customHeight="1" x14ac:dyDescent="0.25">
      <c r="A46" s="47" t="s">
        <v>964</v>
      </c>
      <c r="B46" s="48" t="s">
        <v>1104</v>
      </c>
      <c r="C46" s="48"/>
      <c r="D46" s="48"/>
      <c r="E46" s="48"/>
    </row>
    <row r="47" spans="1:5" ht="27" customHeight="1" x14ac:dyDescent="0.25">
      <c r="A47" s="47" t="s">
        <v>965</v>
      </c>
      <c r="B47" s="48" t="s">
        <v>1105</v>
      </c>
      <c r="C47" s="48"/>
      <c r="D47" s="48"/>
      <c r="E47" s="48"/>
    </row>
    <row r="48" spans="1:5" ht="13.5" customHeight="1" x14ac:dyDescent="0.25">
      <c r="A48" s="47" t="s">
        <v>966</v>
      </c>
      <c r="B48" s="48" t="s">
        <v>1106</v>
      </c>
      <c r="C48" s="48"/>
      <c r="D48" s="48"/>
      <c r="E48" s="48"/>
    </row>
    <row r="49" spans="1:5" ht="27" customHeight="1" x14ac:dyDescent="0.25">
      <c r="A49" s="47" t="s">
        <v>1107</v>
      </c>
      <c r="B49" s="48" t="s">
        <v>1108</v>
      </c>
      <c r="C49" s="48"/>
      <c r="D49" s="48"/>
      <c r="E49" s="48"/>
    </row>
    <row r="50" spans="1:5" x14ac:dyDescent="0.25">
      <c r="A50" s="46"/>
      <c r="B50" s="46"/>
      <c r="C50" s="46"/>
      <c r="D50" s="46"/>
      <c r="E50" s="46"/>
    </row>
    <row r="51" spans="1:5" x14ac:dyDescent="0.25">
      <c r="A51" s="49" t="s">
        <v>1109</v>
      </c>
      <c r="B51" s="49"/>
      <c r="C51" s="49"/>
      <c r="D51" s="49"/>
      <c r="E51" s="49"/>
    </row>
    <row r="52" spans="1:5" x14ac:dyDescent="0.25">
      <c r="A52" s="50" t="s">
        <v>1110</v>
      </c>
      <c r="B52" s="50" t="s">
        <v>1111</v>
      </c>
      <c r="C52" s="50" t="s">
        <v>1112</v>
      </c>
      <c r="D52" s="50" t="s">
        <v>1162</v>
      </c>
      <c r="E52" s="50" t="s">
        <v>1113</v>
      </c>
    </row>
    <row r="53" spans="1:5" x14ac:dyDescent="0.25">
      <c r="A53" s="47" t="s">
        <v>1114</v>
      </c>
      <c r="B53" s="47" t="s">
        <v>1167</v>
      </c>
      <c r="C53" s="47" t="s">
        <v>1115</v>
      </c>
      <c r="D53" s="47" t="s">
        <v>1162</v>
      </c>
      <c r="E53" s="47" t="s">
        <v>1116</v>
      </c>
    </row>
    <row r="54" spans="1:5" x14ac:dyDescent="0.25">
      <c r="A54" s="47" t="s">
        <v>1117</v>
      </c>
      <c r="B54" s="47" t="s">
        <v>1168</v>
      </c>
      <c r="C54" s="47" t="s">
        <v>1118</v>
      </c>
      <c r="D54" s="47" t="s">
        <v>1162</v>
      </c>
      <c r="E54" s="47" t="s">
        <v>1119</v>
      </c>
    </row>
    <row r="55" spans="1:5" x14ac:dyDescent="0.25">
      <c r="A55" s="47" t="s">
        <v>1120</v>
      </c>
      <c r="B55" s="47" t="s">
        <v>1169</v>
      </c>
      <c r="C55" s="47" t="s">
        <v>1121</v>
      </c>
      <c r="D55" s="47" t="s">
        <v>1162</v>
      </c>
      <c r="E55" s="47" t="s">
        <v>1122</v>
      </c>
    </row>
    <row r="56" spans="1:5" ht="28.5" x14ac:dyDescent="0.25">
      <c r="A56" s="47" t="s">
        <v>1123</v>
      </c>
      <c r="B56" s="47" t="s">
        <v>1124</v>
      </c>
      <c r="C56" s="47" t="s">
        <v>1125</v>
      </c>
      <c r="D56" s="47" t="s">
        <v>1162</v>
      </c>
      <c r="E56" s="47" t="s">
        <v>1126</v>
      </c>
    </row>
    <row r="57" spans="1:5" ht="28.5" x14ac:dyDescent="0.25">
      <c r="A57" s="47" t="s">
        <v>1127</v>
      </c>
      <c r="B57" s="47" t="s">
        <v>1128</v>
      </c>
      <c r="C57" s="47" t="s">
        <v>1129</v>
      </c>
      <c r="D57" s="47" t="s">
        <v>1162</v>
      </c>
      <c r="E57" s="47" t="s">
        <v>1130</v>
      </c>
    </row>
    <row r="58" spans="1:5" ht="28.5" x14ac:dyDescent="0.25">
      <c r="A58" s="47" t="s">
        <v>1131</v>
      </c>
      <c r="B58" s="47" t="s">
        <v>1132</v>
      </c>
      <c r="C58" s="47" t="s">
        <v>1133</v>
      </c>
      <c r="D58" s="47" t="s">
        <v>1162</v>
      </c>
      <c r="E58" s="47" t="s">
        <v>1134</v>
      </c>
    </row>
    <row r="59" spans="1:5" ht="28.5" x14ac:dyDescent="0.25">
      <c r="A59" s="47" t="s">
        <v>1135</v>
      </c>
      <c r="B59" s="47" t="s">
        <v>1136</v>
      </c>
      <c r="C59" s="47" t="s">
        <v>1137</v>
      </c>
      <c r="D59" s="47" t="s">
        <v>1162</v>
      </c>
      <c r="E59" s="47" t="s">
        <v>1138</v>
      </c>
    </row>
    <row r="60" spans="1:5" x14ac:dyDescent="0.25">
      <c r="A60" s="47" t="s">
        <v>1139</v>
      </c>
      <c r="B60" s="47" t="s">
        <v>1140</v>
      </c>
      <c r="C60" s="47" t="s">
        <v>1141</v>
      </c>
      <c r="D60" s="47" t="s">
        <v>1162</v>
      </c>
      <c r="E60" s="47" t="s">
        <v>1142</v>
      </c>
    </row>
    <row r="61" spans="1:5" ht="28.5" x14ac:dyDescent="0.25">
      <c r="A61" s="47" t="s">
        <v>1143</v>
      </c>
      <c r="B61" s="47" t="s">
        <v>1170</v>
      </c>
      <c r="C61" s="47" t="s">
        <v>1144</v>
      </c>
      <c r="D61" s="47" t="s">
        <v>1162</v>
      </c>
      <c r="E61" s="47" t="s">
        <v>1145</v>
      </c>
    </row>
    <row r="62" spans="1:5" x14ac:dyDescent="0.25">
      <c r="A62" s="47" t="s">
        <v>1146</v>
      </c>
      <c r="B62" s="47" t="s">
        <v>1147</v>
      </c>
      <c r="C62" s="47" t="s">
        <v>1148</v>
      </c>
      <c r="D62" s="47" t="s">
        <v>1162</v>
      </c>
      <c r="E62" s="47" t="s">
        <v>1149</v>
      </c>
    </row>
    <row r="63" spans="1:5" x14ac:dyDescent="0.25">
      <c r="A63" s="47" t="s">
        <v>1150</v>
      </c>
      <c r="B63" s="47" t="s">
        <v>1151</v>
      </c>
      <c r="C63" s="47" t="s">
        <v>1152</v>
      </c>
      <c r="D63" s="47" t="s">
        <v>1162</v>
      </c>
      <c r="E63" s="47" t="s">
        <v>1153</v>
      </c>
    </row>
    <row r="64" spans="1:5" ht="28.5" x14ac:dyDescent="0.25">
      <c r="A64" s="47" t="s">
        <v>1154</v>
      </c>
      <c r="B64" s="47" t="s">
        <v>1155</v>
      </c>
      <c r="C64" s="47" t="s">
        <v>1156</v>
      </c>
      <c r="D64" s="47" t="s">
        <v>1162</v>
      </c>
      <c r="E64" s="47" t="s">
        <v>1157</v>
      </c>
    </row>
    <row r="65" spans="1:5" ht="28.5" x14ac:dyDescent="0.25">
      <c r="A65" s="47" t="s">
        <v>1158</v>
      </c>
      <c r="B65" s="47" t="s">
        <v>1159</v>
      </c>
      <c r="C65" s="47" t="s">
        <v>1160</v>
      </c>
      <c r="D65" s="47" t="s">
        <v>1162</v>
      </c>
      <c r="E65" s="47" t="s">
        <v>1161</v>
      </c>
    </row>
    <row r="66" spans="1:5" x14ac:dyDescent="0.25">
      <c r="A66" s="46"/>
      <c r="B66" s="46"/>
      <c r="C66" s="46"/>
      <c r="D66" s="46"/>
      <c r="E66" s="46"/>
    </row>
  </sheetData>
  <mergeCells count="35">
    <mergeCell ref="B46:E46"/>
    <mergeCell ref="B47:E47"/>
    <mergeCell ref="B48:E48"/>
    <mergeCell ref="B49:E49"/>
    <mergeCell ref="A51:E51"/>
    <mergeCell ref="A39:E39"/>
    <mergeCell ref="B40:E40"/>
    <mergeCell ref="B41:E41"/>
    <mergeCell ref="B42:E42"/>
    <mergeCell ref="A44:E44"/>
    <mergeCell ref="B45:E45"/>
    <mergeCell ref="B31:E31"/>
    <mergeCell ref="A33:E33"/>
    <mergeCell ref="B34:E34"/>
    <mergeCell ref="B35:E35"/>
    <mergeCell ref="B36:E36"/>
    <mergeCell ref="B37:E37"/>
    <mergeCell ref="A25:E25"/>
    <mergeCell ref="B26:E26"/>
    <mergeCell ref="B27:E27"/>
    <mergeCell ref="B28:E28"/>
    <mergeCell ref="B29:E29"/>
    <mergeCell ref="B30:E30"/>
    <mergeCell ref="B7:E7"/>
    <mergeCell ref="A9:E9"/>
    <mergeCell ref="A16:E16"/>
    <mergeCell ref="B21:E21"/>
    <mergeCell ref="B22:E22"/>
    <mergeCell ref="B23:E23"/>
    <mergeCell ref="A1:E1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Abilities</vt:lpstr>
      <vt:lpstr>Tiers</vt:lpstr>
      <vt:lpstr>Trees</vt:lpstr>
      <vt:lpstr>Rules &amp; Legend</vt:lpstr>
      <vt:lpstr>Timing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Eloi Gélinier</cp:lastModifiedBy>
  <cp:revision>0</cp:revision>
  <dcterms:created xsi:type="dcterms:W3CDTF">2026-10-12T06:29:30Z</dcterms:created>
  <dcterms:modified xsi:type="dcterms:W3CDTF">2026-10-26T05:24:48Z</dcterms:modified>
  <dc:language>en-US</dc:language>
</cp:coreProperties>
</file>