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mc:AlternateContent xmlns:mc="http://schemas.openxmlformats.org/markup-compatibility/2006">
    <mc:Choice Requires="x15">
      <x15ac:absPath xmlns:x15ac="http://schemas.microsoft.com/office/spreadsheetml/2010/11/ac" url="C:\Users\eloig\Documents\GitHub\Final-Wars\design\"/>
    </mc:Choice>
  </mc:AlternateContent>
  <xr:revisionPtr revIDLastSave="0" documentId="13_ncr:1_{E4390271-613D-430B-83F8-9052E54E72C8}" xr6:coauthVersionLast="47" xr6:coauthVersionMax="47" xr10:uidLastSave="{00000000-0000-0000-0000-000000000000}"/>
  <bookViews>
    <workbookView xWindow="-28455" yWindow="4770" windowWidth="21600" windowHeight="11295" tabRatio="500" xr2:uid="{00000000-000D-0000-FFFF-FFFF00000000}"/>
  </bookViews>
  <sheets>
    <sheet name="Abilities" sheetId="1" r:id="rId1"/>
    <sheet name="Tiers" sheetId="2" r:id="rId2"/>
    <sheet name="Trees" sheetId="3" r:id="rId3"/>
    <sheet name="Rules &amp; Legend" sheetId="4" r:id="rId4"/>
    <sheet name="Timing Rules" sheetId="7" r:id="rId5"/>
  </sheets>
  <definedNames>
    <definedName name="_xlnm._FilterDatabase" localSheetId="0" hidden="1">Abilities!$A$1:$T$146</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K8" i="3" l="1"/>
  <c r="J8" i="3"/>
  <c r="I8" i="3"/>
  <c r="H8" i="3"/>
  <c r="G8" i="3"/>
  <c r="F8" i="3"/>
  <c r="K7" i="3"/>
  <c r="J7" i="3"/>
  <c r="I7" i="3"/>
  <c r="H7" i="3"/>
  <c r="G7" i="3"/>
  <c r="F7" i="3"/>
  <c r="K6" i="3"/>
  <c r="J6" i="3"/>
  <c r="I6" i="3"/>
  <c r="H6" i="3"/>
  <c r="G6" i="3"/>
  <c r="F6" i="3"/>
  <c r="K5" i="3"/>
  <c r="J5" i="3"/>
  <c r="I5" i="3"/>
  <c r="H5" i="3"/>
  <c r="G5" i="3"/>
  <c r="F5" i="3"/>
  <c r="K4" i="3"/>
  <c r="J4" i="3"/>
  <c r="I4" i="3"/>
  <c r="H4" i="3"/>
  <c r="G4" i="3"/>
  <c r="F4" i="3"/>
  <c r="K3" i="3"/>
  <c r="J3" i="3"/>
  <c r="I3" i="3"/>
  <c r="H3" i="3"/>
  <c r="G3" i="3"/>
  <c r="F3" i="3"/>
  <c r="K2" i="3"/>
  <c r="K9" i="3" s="1"/>
  <c r="J2" i="3"/>
  <c r="J9" i="3" s="1"/>
  <c r="I2" i="3"/>
  <c r="I9" i="3" s="1"/>
  <c r="H2" i="3"/>
  <c r="H9" i="3" s="1"/>
  <c r="G2" i="3"/>
  <c r="G9" i="3" s="1"/>
  <c r="F2" i="3"/>
  <c r="F9" i="3" s="1"/>
  <c r="E146" i="1"/>
  <c r="E145" i="1"/>
  <c r="E144" i="1"/>
  <c r="E143" i="1"/>
  <c r="E142" i="1"/>
  <c r="E141" i="1"/>
  <c r="E140" i="1"/>
  <c r="E139" i="1"/>
  <c r="E138" i="1"/>
  <c r="E137" i="1"/>
  <c r="E136" i="1"/>
  <c r="E135" i="1"/>
  <c r="E134" i="1"/>
  <c r="E133" i="1"/>
  <c r="E132" i="1"/>
  <c r="E131" i="1"/>
  <c r="E130" i="1"/>
  <c r="E129" i="1"/>
  <c r="E128" i="1"/>
  <c r="E127" i="1"/>
  <c r="E126" i="1"/>
  <c r="E125" i="1"/>
  <c r="E124" i="1"/>
  <c r="E123" i="1"/>
  <c r="E122" i="1"/>
  <c r="E121" i="1"/>
  <c r="E120" i="1"/>
  <c r="E119" i="1"/>
  <c r="E118" i="1"/>
  <c r="E117" i="1"/>
  <c r="E116" i="1"/>
  <c r="E115" i="1"/>
  <c r="E114" i="1"/>
  <c r="E113" i="1"/>
  <c r="E112" i="1"/>
  <c r="E111" i="1"/>
  <c r="E110" i="1"/>
  <c r="E109" i="1"/>
  <c r="E108" i="1"/>
  <c r="E107" i="1"/>
  <c r="E106" i="1"/>
  <c r="E105" i="1"/>
  <c r="E104" i="1"/>
  <c r="E103" i="1"/>
  <c r="E102" i="1"/>
  <c r="E101" i="1"/>
  <c r="E100" i="1"/>
  <c r="E99" i="1"/>
  <c r="E98" i="1"/>
  <c r="E97" i="1"/>
  <c r="E96" i="1"/>
  <c r="E95" i="1"/>
  <c r="E94" i="1"/>
  <c r="E93" i="1"/>
  <c r="E92" i="1"/>
  <c r="E91" i="1"/>
  <c r="E90" i="1"/>
  <c r="E89" i="1"/>
  <c r="E88" i="1"/>
  <c r="E87" i="1"/>
  <c r="E86" i="1"/>
  <c r="E85" i="1"/>
  <c r="E84" i="1"/>
  <c r="E83" i="1"/>
  <c r="E82" i="1"/>
  <c r="E81" i="1"/>
  <c r="E80" i="1"/>
  <c r="E79" i="1"/>
  <c r="E78" i="1"/>
  <c r="E77" i="1"/>
  <c r="E76" i="1"/>
  <c r="E75" i="1"/>
  <c r="E74" i="1"/>
  <c r="E73" i="1"/>
  <c r="E72" i="1"/>
  <c r="E71" i="1"/>
  <c r="E70" i="1"/>
  <c r="E69" i="1"/>
  <c r="E68" i="1"/>
  <c r="E67" i="1"/>
  <c r="E66" i="1"/>
  <c r="E65" i="1"/>
  <c r="E64" i="1"/>
  <c r="E63" i="1"/>
  <c r="E62" i="1"/>
  <c r="E61" i="1"/>
  <c r="E60" i="1"/>
  <c r="E59" i="1"/>
  <c r="E58" i="1"/>
  <c r="E57" i="1"/>
  <c r="E56" i="1"/>
  <c r="E55" i="1"/>
  <c r="E54" i="1"/>
  <c r="E53" i="1"/>
  <c r="E52" i="1"/>
  <c r="E51" i="1"/>
  <c r="E50" i="1"/>
  <c r="E49" i="1"/>
  <c r="E48" i="1"/>
  <c r="E47" i="1"/>
  <c r="E46" i="1"/>
  <c r="E45" i="1"/>
  <c r="E44" i="1"/>
  <c r="E43" i="1"/>
  <c r="E42" i="1"/>
  <c r="E41" i="1"/>
  <c r="E40" i="1"/>
  <c r="E39" i="1"/>
  <c r="E38" i="1"/>
  <c r="E37" i="1"/>
  <c r="E36" i="1"/>
  <c r="E35" i="1"/>
  <c r="E34" i="1"/>
  <c r="E33" i="1"/>
  <c r="E32" i="1"/>
  <c r="E31" i="1"/>
  <c r="E30" i="1"/>
  <c r="E29" i="1"/>
  <c r="E28" i="1"/>
  <c r="E27" i="1"/>
  <c r="E26" i="1"/>
  <c r="E25" i="1"/>
  <c r="E24" i="1"/>
  <c r="E23" i="1"/>
  <c r="E22" i="1"/>
  <c r="E21" i="1"/>
  <c r="E20" i="1"/>
  <c r="E19" i="1"/>
  <c r="E18" i="1"/>
  <c r="E17" i="1"/>
  <c r="E16" i="1"/>
  <c r="E15" i="1"/>
  <c r="E14" i="1"/>
  <c r="E13" i="1"/>
  <c r="E12" i="1"/>
  <c r="E11" i="1"/>
  <c r="E10" i="1"/>
  <c r="E9" i="1"/>
  <c r="E8" i="1"/>
  <c r="E7" i="1"/>
  <c r="E6" i="1"/>
  <c r="E5" i="1"/>
  <c r="E4" i="1"/>
  <c r="E3" i="1"/>
  <c r="E2" i="1"/>
</calcChain>
</file>

<file path=xl/sharedStrings.xml><?xml version="1.0" encoding="utf-8"?>
<sst xmlns="http://schemas.openxmlformats.org/spreadsheetml/2006/main" count="2395" uniqueCount="1175">
  <si>
    <t>ID</t>
  </si>
  <si>
    <t>Tree</t>
  </si>
  <si>
    <t>Branch</t>
  </si>
  <si>
    <t>Tier</t>
  </si>
  <si>
    <t>Mastery Required</t>
  </si>
  <si>
    <t>Ability</t>
  </si>
  <si>
    <t>Role</t>
  </si>
  <si>
    <t>Prerequisites</t>
  </si>
  <si>
    <t>Item Type</t>
  </si>
  <si>
    <t>Taught By</t>
  </si>
  <si>
    <t>Scales With</t>
  </si>
  <si>
    <t>Effect</t>
  </si>
  <si>
    <t>Targeting</t>
  </si>
  <si>
    <t>Targeting Details</t>
  </si>
  <si>
    <t>Cooldown (s)</t>
  </si>
  <si>
    <t>Mastery on Learn</t>
  </si>
  <si>
    <t>Mastery per Use</t>
  </si>
  <si>
    <t>Mastery Cap</t>
  </si>
  <si>
    <t>Mastery Contribution</t>
  </si>
  <si>
    <t>Notes</t>
  </si>
  <si>
    <t>F01</t>
  </si>
  <si>
    <t>Fire</t>
  </si>
  <si>
    <t>Flame Martial</t>
  </si>
  <si>
    <t>Fire Punch</t>
  </si>
  <si>
    <t>Damage</t>
  </si>
  <si>
    <t>—</t>
  </si>
  <si>
    <t>Scroll</t>
  </si>
  <si>
    <t>Ember Fist Scroll</t>
  </si>
  <si>
    <t>Fire Mastery, Magic Atk</t>
  </si>
  <si>
    <t>Quick flaming jab on an adjacent enemy.</t>
  </si>
  <si>
    <t>Targeted</t>
  </si>
  <si>
    <t>Adjacent enemy. Locks on; can't miss.</t>
  </si>
  <si>
    <t>+5 Fire Mastery when learned, +0.2 per use vs. enemies near your level, up to 50</t>
  </si>
  <si>
    <t>F02</t>
  </si>
  <si>
    <t>Fire Kick</t>
  </si>
  <si>
    <t>Cinder Kick Scroll</t>
  </si>
  <si>
    <t>Flaming kick on an adjacent enemy; applies a short burn.</t>
  </si>
  <si>
    <t>Adjacent enemy. Locks on; the burn always applies.</t>
  </si>
  <si>
    <t>F03</t>
  </si>
  <si>
    <t>Fire Blasts</t>
  </si>
  <si>
    <t>Fire Dart</t>
  </si>
  <si>
    <t>Spark Scroll</t>
  </si>
  <si>
    <t>Small bolt of flame, range 4.</t>
  </si>
  <si>
    <t>Skillshot</t>
  </si>
  <si>
    <t>Aim at an enemy within 4. Fast bolt at any angle; hits the first unit in its path. Very hard to dodge.</t>
  </si>
  <si>
    <t>F04</t>
  </si>
  <si>
    <t>Sun Warrior's Breath</t>
  </si>
  <si>
    <t>Self buff</t>
  </si>
  <si>
    <t>Sun Warrior's Breath Scroll</t>
  </si>
  <si>
    <t>Your next 3 fire abilities deal bonus damage, and you regain 10% of your Mana over 10s.</t>
  </si>
  <si>
    <t>Self</t>
  </si>
  <si>
    <t>No target.</t>
  </si>
  <si>
    <t>+5 Fire Mastery when learned, +0.4 per use vs. enemies near your level, up to 50</t>
  </si>
  <si>
    <t>F05</t>
  </si>
  <si>
    <t>Flame Dash</t>
  </si>
  <si>
    <t>Mobility</t>
  </si>
  <si>
    <t>Scroll of Burning Feet</t>
  </si>
  <si>
    <t>Dash up to 3 tiles on flaming feet, burning the tiles behind you. Charges: 1, +1 per 300 Fire Mastery.</t>
  </si>
  <si>
    <t>Ground</t>
  </si>
  <si>
    <t>Pick a tile up to 3 away in one of 8 directions. You dash in a straight line and stop early at walls, units or ledges you can't climb.</t>
  </si>
  <si>
    <t>+10 Fire Mastery when learned, +0.3 per use vs. enemies near your level, up to 70</t>
  </si>
  <si>
    <t>F06</t>
  </si>
  <si>
    <t>Fire Whip</t>
  </si>
  <si>
    <t>Lash of Embers Scroll</t>
  </si>
  <si>
    <t>Lash a straight line of 3 tiles.</t>
  </si>
  <si>
    <t>Aim one of 8 directions. Instant 3-tile line; hits every enemy in it.</t>
  </si>
  <si>
    <t>F07</t>
  </si>
  <si>
    <t>Fireball</t>
  </si>
  <si>
    <t>AoE damage</t>
  </si>
  <si>
    <t>Scroll of the Fireball</t>
  </si>
  <si>
    <t>Range 5; explodes on all tiles within 1 of the target.</t>
  </si>
  <si>
    <t>Pick a tile within 5. The 3x3 blast area flashes for 0.4s before impact; step out to dodge.</t>
  </si>
  <si>
    <t>F08</t>
  </si>
  <si>
    <t>Burning Ground</t>
  </si>
  <si>
    <t>Scorched Earth Scroll</t>
  </si>
  <si>
    <t>Set a 3x3 area ablaze for 6s.</t>
  </si>
  <si>
    <t>Pick a tile within 4. Zone appears instantly; enemies burn only while standing in it.</t>
  </si>
  <si>
    <t>+10 Fire Mastery when learned, +0.6 per use vs. enemies near your level, up to 70</t>
  </si>
  <si>
    <t>F09</t>
  </si>
  <si>
    <t>Blazing Combo</t>
  </si>
  <si>
    <t>Fire Punch; Fire Kick</t>
  </si>
  <si>
    <t>Blazing Fist Scroll</t>
  </si>
  <si>
    <t>Three-hit combo; the last hit knocks the target back 1 tile.</t>
  </si>
  <si>
    <t>Adjacent enemy. The final hit pushes it directly away from you (snapped to 8 directions).</t>
  </si>
  <si>
    <t>F10</t>
  </si>
  <si>
    <t>Flame Wheel</t>
  </si>
  <si>
    <t>Wheel of Flame Scroll</t>
  </si>
  <si>
    <t>Spinning kick hitting every adjacent enemy; bonus damage for each Flame Dash charge spent in the last 5s.</t>
  </si>
  <si>
    <t>Hits all 8 tiles around you.</t>
  </si>
  <si>
    <t>+15 Fire Mastery when learned, +0.8 per use vs. enemies near your level, up to 100</t>
  </si>
  <si>
    <t>F11</t>
  </si>
  <si>
    <t>Jet Propulsion</t>
  </si>
  <si>
    <t>Scroll of Rising Jets</t>
  </si>
  <si>
    <t>Fly on fire jets for 3s, ignoring height and gaps.</t>
  </si>
  <si>
    <t>No target; move freely while it lasts.</t>
  </si>
  <si>
    <t>F12</t>
  </si>
  <si>
    <t>Fire Stream</t>
  </si>
  <si>
    <t>Firestream Scroll</t>
  </si>
  <si>
    <t>Channel a 4-tile line of fire for 2s.</t>
  </si>
  <si>
    <t>Aim at any angle. The beam covers the 4 tiles along that line; you can slowly rotate it while channeling.</t>
  </si>
  <si>
    <t>F13</t>
  </si>
  <si>
    <t>Heat Wave</t>
  </si>
  <si>
    <t>Debuff</t>
  </si>
  <si>
    <t>Shimmering Heat Scroll</t>
  </si>
  <si>
    <t>3-tile cone that lowers enemy Magic Defense for 8s.</t>
  </si>
  <si>
    <t>Aim one of 8 directions. Cone covers the tiles in front of you.</t>
  </si>
  <si>
    <t>F14</t>
  </si>
  <si>
    <t>Breath of Fire</t>
  </si>
  <si>
    <t>Fire Whip; Heat Wave</t>
  </si>
  <si>
    <t>Dragon's Breath Scroll</t>
  </si>
  <si>
    <t>Exhale a 4-tile cone of fire.</t>
  </si>
  <si>
    <t>Aim one of 8 directions. 4-tile cone in front of you.</t>
  </si>
  <si>
    <t>F15</t>
  </si>
  <si>
    <t>Phoenix Kick</t>
  </si>
  <si>
    <t>Phoenix Scroll</t>
  </si>
  <si>
    <t>Leap to an enemy within 4 tiles and crash down on every tile within 1.</t>
  </si>
  <si>
    <t>Pick an enemy within 4. You land on a free tile next to it; the AoE centers on you.</t>
  </si>
  <si>
    <t>+25 Fire Mastery when learned, +1.0 per use vs. enemies near your level, up to 150</t>
  </si>
  <si>
    <t>F16</t>
  </si>
  <si>
    <t>Inferno</t>
  </si>
  <si>
    <t>Fire Stream; Breath of Fire</t>
  </si>
  <si>
    <t>Inferno Codex</t>
  </si>
  <si>
    <t>Firestorm over a 5x5 area for 4s.</t>
  </si>
  <si>
    <t>Pick a tile within 6. The 5x5 area is outlined for 0.75s before it ignites.</t>
  </si>
  <si>
    <t>+25 Fire Mastery when learned, +2.0 per use vs. enemies near your level, up to 150</t>
  </si>
  <si>
    <t>F17</t>
  </si>
  <si>
    <t>Advanced Fire</t>
  </si>
  <si>
    <t>Lightning Bolt</t>
  </si>
  <si>
    <t>Burst damage</t>
  </si>
  <si>
    <t>Fire Stream; Air Mastery 350</t>
  </si>
  <si>
    <t>Storm-Fire Scroll</t>
  </si>
  <si>
    <t>Fire Mastery, Magic Atk, Crit Rate</t>
  </si>
  <si>
    <t>1s charge, then a range-8 strike with doubled crit chance.</t>
  </si>
  <si>
    <t>Pick an enemy within 8. Lightning can't miss, but the 1s charge can be interrupted, and it fails if the target breaks line of sight.</t>
  </si>
  <si>
    <t>F18</t>
  </si>
  <si>
    <t>Combustion Blast</t>
  </si>
  <si>
    <t>Scroll of the Third Eye</t>
  </si>
  <si>
    <t>Telegraphed for 1s, range 10; huge explosion within 1 tile.</t>
  </si>
  <si>
    <t>Pick a tile within 10. The marker is visible to enemies for 1s, then explodes.</t>
  </si>
  <si>
    <t>F19</t>
  </si>
  <si>
    <t>Lightning Redirection</t>
  </si>
  <si>
    <t>Counter</t>
  </si>
  <si>
    <t>Scroll of Redirected Lightning</t>
  </si>
  <si>
    <t>For 1.5s, absorb the next enemy spell and fire it back as lightning.</t>
  </si>
  <si>
    <t>Timed counter. The next enemy spell that would hit you within 1.5s is sent back at its caster (can't miss).</t>
  </si>
  <si>
    <t>+50 Fire Mastery when learned, +4.0 per use vs. enemies near your level, up to 200</t>
  </si>
  <si>
    <t>F20</t>
  </si>
  <si>
    <t>Blue Fire</t>
  </si>
  <si>
    <t>Azure Flame Codex</t>
  </si>
  <si>
    <t>15s: fire damage +30% and burns ignore half of Magic Defense.</t>
  </si>
  <si>
    <t>+50 Fire Mastery when learned, +10.0 per use vs. enemies near your level, up to 200</t>
  </si>
  <si>
    <t>F21</t>
  </si>
  <si>
    <t>Solar Zenith</t>
  </si>
  <si>
    <t>Phoenix Kick; Inferno</t>
  </si>
  <si>
    <t>Codex of the Zenith Sun</t>
  </si>
  <si>
    <t>12s: all fire ability cooldowns are halved.</t>
  </si>
  <si>
    <t>E01</t>
  </si>
  <si>
    <t>Earth</t>
  </si>
  <si>
    <t>Stone Guard</t>
  </si>
  <si>
    <t>Rock Throw</t>
  </si>
  <si>
    <t>Pebble Scroll</t>
  </si>
  <si>
    <t>Earth Mastery, Phys Atk</t>
  </si>
  <si>
    <t>Hurl a rock, range 4.</t>
  </si>
  <si>
    <t>Aim at an enemy within 4. The rock arcs over low obstacles and lands on that tile after 0.3s; misses if the target moved.</t>
  </si>
  <si>
    <t>+5 Earth Mastery when learned, +0.2 per use vs. enemies near your level, up to 50</t>
  </si>
  <si>
    <t>E02</t>
  </si>
  <si>
    <t>Stone Skin</t>
  </si>
  <si>
    <t>Granite Skin Scroll</t>
  </si>
  <si>
    <t>Earth Mastery, Phys Def</t>
  </si>
  <si>
    <t>Gain Physical Defense for 10s.</t>
  </si>
  <si>
    <t>+5 Earth Mastery when learned, +0.4 per use vs. enemies near your level, up to 50</t>
  </si>
  <si>
    <t>E03</t>
  </si>
  <si>
    <t>Terraform</t>
  </si>
  <si>
    <t>Raise Pillar</t>
  </si>
  <si>
    <t>Terrain</t>
  </si>
  <si>
    <t>Pillar Scroll</t>
  </si>
  <si>
    <t>Earth Mastery</t>
  </si>
  <si>
    <t>Raise a tile 1 height level for 15s (2 levels at 500 Earth Mastery).</t>
  </si>
  <si>
    <t>Pick a tile within 3. Any unit on it is lifted with the tile.</t>
  </si>
  <si>
    <t>E04</t>
  </si>
  <si>
    <t>Seismic Stomp</t>
  </si>
  <si>
    <t>Taunt</t>
  </si>
  <si>
    <t>Stomp Scroll</t>
  </si>
  <si>
    <t>Taunt adjacent enemies for 4s.</t>
  </si>
  <si>
    <t>Taunts every enemy on the 8 tiles around you.</t>
  </si>
  <si>
    <t>E05</t>
  </si>
  <si>
    <t>Earth Wall</t>
  </si>
  <si>
    <t>Bulwark Scroll</t>
  </si>
  <si>
    <t>Raise a 3-tile wall (+2 height) that blocks movement and line of sight for 12s. +1 length per 300 Earth Mastery.</t>
  </si>
  <si>
    <t>Pick a tile within 4. The wall rises crosswise to the direction you're facing; skips tiles occupied by units.</t>
  </si>
  <si>
    <t>+10 Earth Mastery when learned, +0.6 per use vs. enemies near your level, up to 70</t>
  </si>
  <si>
    <t>E06</t>
  </si>
  <si>
    <t>Sinkhole</t>
  </si>
  <si>
    <t>Terrain / CC</t>
  </si>
  <si>
    <t>Sinkhole Scroll</t>
  </si>
  <si>
    <t>Lower a tile 1 level; an enemy on it is rooted for 2s.</t>
  </si>
  <si>
    <t>Pick a tile within 4. 0.3s rumble, then whoever stands on it is rooted.</t>
  </si>
  <si>
    <t>E07</t>
  </si>
  <si>
    <t>Boulder Shield</t>
  </si>
  <si>
    <t>Shield</t>
  </si>
  <si>
    <t>Boulder Scroll</t>
  </si>
  <si>
    <t>Absorb shield on yourself; size scales with Earth Mastery.</t>
  </si>
  <si>
    <t>E08</t>
  </si>
  <si>
    <t>Rumbling Taunt</t>
  </si>
  <si>
    <t>Rumble Scroll</t>
  </si>
  <si>
    <t>Taunt all enemies within 2 tiles for 5s.</t>
  </si>
  <si>
    <t>All enemies within 2 tiles.</t>
  </si>
  <si>
    <t>E09</t>
  </si>
  <si>
    <t>Earth Ramp</t>
  </si>
  <si>
    <t>Scroll of the Stone Path</t>
  </si>
  <si>
    <t>Shape a ramp so allies can climb up to 3 height levels.</t>
  </si>
  <si>
    <t>Pick a tile within 3 and a direction; the ramp builds from there.</t>
  </si>
  <si>
    <t>E10</t>
  </si>
  <si>
    <t>Fortress Stance</t>
  </si>
  <si>
    <t>Damage reduction</t>
  </si>
  <si>
    <t>Boulder Shield; Rumbling Taunt</t>
  </si>
  <si>
    <t>Fortress Scroll</t>
  </si>
  <si>
    <t>Take 40% less damage for 6s but cannot move.</t>
  </si>
  <si>
    <t>+15 Earth Mastery when learned, +1.6 per use vs. enemies near your level, up to 100</t>
  </si>
  <si>
    <t>E11</t>
  </si>
  <si>
    <t>Earthquake</t>
  </si>
  <si>
    <t>AoE / CC</t>
  </si>
  <si>
    <t>Quake Scroll</t>
  </si>
  <si>
    <t>3x3 damage and slow; shuffles tile heights by ±1.</t>
  </si>
  <si>
    <t>Pick a tile within 5. Cracks show the 3x3 area for 0.5s first.</t>
  </si>
  <si>
    <t>+15 Earth Mastery when learned, +0.8 per use vs. enemies near your level, up to 100</t>
  </si>
  <si>
    <t>E12</t>
  </si>
  <si>
    <t>Trench</t>
  </si>
  <si>
    <t>Trench Scroll</t>
  </si>
  <si>
    <t>Carve a 4-tile trench 2 levels deep.</t>
  </si>
  <si>
    <t>Pick a start tile within 3 and a direction; carves 4 tiles.</t>
  </si>
  <si>
    <t>E13</t>
  </si>
  <si>
    <t>Seismic Sense</t>
  </si>
  <si>
    <t>Utility</t>
  </si>
  <si>
    <t>Scroll of Seismic Sight</t>
  </si>
  <si>
    <t>Reveal hidden enemies and traps within 6 tiles for 10s.</t>
  </si>
  <si>
    <t>Radius 6 around you.</t>
  </si>
  <si>
    <t>E14</t>
  </si>
  <si>
    <t>Earth Armor</t>
  </si>
  <si>
    <t>Stone Armor Codex</t>
  </si>
  <si>
    <t>Encase yourself in rock for 15s: large Physical Defense boost, steps 50% slower.</t>
  </si>
  <si>
    <t>E15</t>
  </si>
  <si>
    <t>Specialty Bending</t>
  </si>
  <si>
    <t>Metalbending</t>
  </si>
  <si>
    <t>Debuff / CC</t>
  </si>
  <si>
    <t>Iron Will Scroll</t>
  </si>
  <si>
    <t>Bend an enemy's armor: lower its Physical Defense and pull it 2 tiles toward you.</t>
  </si>
  <si>
    <t>Enemy within 4. Pulls it toward you along a straight tile line; stops at obstacles.</t>
  </si>
  <si>
    <t>+25 Earth Mastery when learned, +1.0 per use vs. enemies near your level, up to 150</t>
  </si>
  <si>
    <t>E16</t>
  </si>
  <si>
    <t>Sandstorm</t>
  </si>
  <si>
    <t>AoE debuff</t>
  </si>
  <si>
    <t>Earthquake; Air Mastery 350</t>
  </si>
  <si>
    <t>Desert Wind Scroll</t>
  </si>
  <si>
    <t>4x4 storm for 6s; enemies inside lose Accuracy.</t>
  </si>
  <si>
    <t>Pick a tile within 5; 4x4 area.</t>
  </si>
  <si>
    <t>+25 Earth Mastery when learned, +2.0 per use vs. enemies near your level, up to 150</t>
  </si>
  <si>
    <t>E17</t>
  </si>
  <si>
    <t>Lavabending</t>
  </si>
  <si>
    <t>Terrain / Damage</t>
  </si>
  <si>
    <t>Trench; Fire Mastery 350</t>
  </si>
  <si>
    <t>Molten Core Codex</t>
  </si>
  <si>
    <t>Earth Mastery, Magic Atk</t>
  </si>
  <si>
    <t>Turn a 3x3 area into lava for 8s; it burns and blocks movement.</t>
  </si>
  <si>
    <t>Pick a tile within 4. The 3x3 area glows for 0.5s before turning to lava.</t>
  </si>
  <si>
    <t>E18</t>
  </si>
  <si>
    <t>Mountain's Stand</t>
  </si>
  <si>
    <t>Party protection</t>
  </si>
  <si>
    <t>Mountain Codex</t>
  </si>
  <si>
    <t>8s: absorb 50% of the damage dealt to allies within 2 tiles.</t>
  </si>
  <si>
    <t>Aura covering allies within 2 tiles of you.</t>
  </si>
  <si>
    <t>E19</t>
  </si>
  <si>
    <t>Living Fortress</t>
  </si>
  <si>
    <t>Mountain's Stand; Earth Wall</t>
  </si>
  <si>
    <t>Citadel Codex</t>
  </si>
  <si>
    <t>Ring the party in stone walls for 10s; allies inside take 30% less damage.</t>
  </si>
  <si>
    <t>Walls form in a ring around you; allies inside at cast time are protected.</t>
  </si>
  <si>
    <t>+50 Earth Mastery when learned, +10.0 per use vs. enemies near your level, up to 200</t>
  </si>
  <si>
    <t>E20</t>
  </si>
  <si>
    <t>Tectonic Shift</t>
  </si>
  <si>
    <t>Terrain / AoE</t>
  </si>
  <si>
    <t>Earthquake; Trench</t>
  </si>
  <si>
    <t>Tectonic Codex</t>
  </si>
  <si>
    <t>Reshape a 7x7 area, raising and lowering tiles and knocking enemies off their footing.</t>
  </si>
  <si>
    <t>Centered on a tile within 3. 1s rumble telegraph.</t>
  </si>
  <si>
    <t>W01</t>
  </si>
  <si>
    <t>Water</t>
  </si>
  <si>
    <t>Healing</t>
  </si>
  <si>
    <t>Healing Touch</t>
  </si>
  <si>
    <t>Heal</t>
  </si>
  <si>
    <t>Mender's Scroll</t>
  </si>
  <si>
    <t>Water Mastery, Magic Atk</t>
  </si>
  <si>
    <t>Heal yourself or an ally within 2 tiles.</t>
  </si>
  <si>
    <t>Yourself or an ally within 2. Can't miss.</t>
  </si>
  <si>
    <t>+5 Water Mastery when learned, +0.2 per use vs. enemies near your level, up to 50</t>
  </si>
  <si>
    <t>W02</t>
  </si>
  <si>
    <t>Currents</t>
  </si>
  <si>
    <t>Water Whip</t>
  </si>
  <si>
    <t>River Lash Scroll</t>
  </si>
  <si>
    <t>Lash an enemy within 3 tiles.</t>
  </si>
  <si>
    <t>Enemy within 3. Locks on.</t>
  </si>
  <si>
    <t>W03</t>
  </si>
  <si>
    <t>Blessings</t>
  </si>
  <si>
    <t>Flow State</t>
  </si>
  <si>
    <t>Buff</t>
  </si>
  <si>
    <t>Scroll of the Current</t>
  </si>
  <si>
    <t>You or an ally gain Haste for 30s.</t>
  </si>
  <si>
    <t>Yourself or an ally within 3.</t>
  </si>
  <si>
    <t>+5 Water Mastery when learned, +0.4 per use vs. enemies near your level, up to 50</t>
  </si>
  <si>
    <t>W04</t>
  </si>
  <si>
    <t>Ice</t>
  </si>
  <si>
    <t>Frost Shard</t>
  </si>
  <si>
    <t>Damage / CC</t>
  </si>
  <si>
    <t>Frost Shard Scroll</t>
  </si>
  <si>
    <t>Range 4; damages and slows the target for 2s.</t>
  </si>
  <si>
    <t>Aim at an enemy within 4. Fast shard at any angle; hits the first unit in its path.</t>
  </si>
  <si>
    <t>W05</t>
  </si>
  <si>
    <t>Soothing Mist</t>
  </si>
  <si>
    <t>Heal over time</t>
  </si>
  <si>
    <t>Mist Scroll</t>
  </si>
  <si>
    <t>Heal you or an ally within 3 tiles over 12s.</t>
  </si>
  <si>
    <t>Yourself or an ally within 4.</t>
  </si>
  <si>
    <t>+10 Water Mastery when learned, +0.3 per use vs. enemies near your level, up to 70</t>
  </si>
  <si>
    <t>W06</t>
  </si>
  <si>
    <t>Water Pulse</t>
  </si>
  <si>
    <t>Wave Scroll</t>
  </si>
  <si>
    <t>A wave down a 3-tile line that damages and pushes enemies back 1 tile.</t>
  </si>
  <si>
    <t>Aim one of 8 directions. 3-tile line; pushes enemies along that direction.</t>
  </si>
  <si>
    <t>W07</t>
  </si>
  <si>
    <t>Leeching Tide</t>
  </si>
  <si>
    <t>Damage / Self heal</t>
  </si>
  <si>
    <t>Leech Tide Scroll</t>
  </si>
  <si>
    <t>Damage an enemy within 3 tiles and heal yourself for 50% of the damage dealt.</t>
  </si>
  <si>
    <t>Enemy within 3. The heal applies to you automatically.</t>
  </si>
  <si>
    <t>+10 Water Mastery when learned, +0.6 per use vs. enemies near your level, up to 70</t>
  </si>
  <si>
    <t>W08</t>
  </si>
  <si>
    <t>Tidal Blessing</t>
  </si>
  <si>
    <t>Tidal Scroll</t>
  </si>
  <si>
    <t>Water Mastery, Magic Def</t>
  </si>
  <si>
    <t>You or an ally gain Physical and Magic Defense for 45s.</t>
  </si>
  <si>
    <t>W09</t>
  </si>
  <si>
    <t>Ice Spikes</t>
  </si>
  <si>
    <t>AoE damage / CC</t>
  </si>
  <si>
    <t>Glacier Scroll</t>
  </si>
  <si>
    <t>Spikes erupt in a 3x3 area: damage and slow for 3s.</t>
  </si>
  <si>
    <t>Pick a tile within 4. Spikes erupt in the 3x3 area after 0.4s.</t>
  </si>
  <si>
    <t>W10</t>
  </si>
  <si>
    <t>Spirit Water</t>
  </si>
  <si>
    <t>Big heal</t>
  </si>
  <si>
    <t>Spirit Oasis Scroll</t>
  </si>
  <si>
    <t>Large heal on you or an ally; also removes one debuff.</t>
  </si>
  <si>
    <t>+15 Water Mastery when learned, +0.8 per use vs. enemies near your level, up to 100</t>
  </si>
  <si>
    <t>W11</t>
  </si>
  <si>
    <t>Water Jet</t>
  </si>
  <si>
    <t>Pressure Jet Scroll</t>
  </si>
  <si>
    <t>High-pressure jet that pierces every enemy in a 5-tile line.</t>
  </si>
  <si>
    <t>Aim at any angle. Instant piercing jet along a 5-tile line.</t>
  </si>
  <si>
    <t>W12</t>
  </si>
  <si>
    <t>Water Shield</t>
  </si>
  <si>
    <t>Bubble Ward Scroll</t>
  </si>
  <si>
    <t>Absorb shield on you or an ally for 20s; when it breaks it splashes damage on adjacent enemies.</t>
  </si>
  <si>
    <t>W13</t>
  </si>
  <si>
    <t>Ice Prison</t>
  </si>
  <si>
    <t>CC</t>
  </si>
  <si>
    <t>Frozen Tomb Scroll</t>
  </si>
  <si>
    <t>Freeze an enemy for 2s; frozen enemies take 25% more damage.</t>
  </si>
  <si>
    <t>Enemy within 4. 0.5s cast; fails if the target breaks line of sight.</t>
  </si>
  <si>
    <t>W14</t>
  </si>
  <si>
    <t>Revive</t>
  </si>
  <si>
    <t>Resurrection</t>
  </si>
  <si>
    <t>Scroll of Second Life</t>
  </si>
  <si>
    <t>Water Mastery</t>
  </si>
  <si>
    <t>Resurrect a fallen ally at 30% HP; usable in combat.</t>
  </si>
  <si>
    <t>Fallen ally within 3. 2s cast, interrupted by damage.</t>
  </si>
  <si>
    <t>+15 Water Mastery when learned, +4.0 per use vs. enemies near your level, up to 100</t>
  </si>
  <si>
    <t>W15</t>
  </si>
  <si>
    <t>Tidal Wave</t>
  </si>
  <si>
    <t>Tsunami Codex</t>
  </si>
  <si>
    <t>A 3-tile-wide wave rolls 5 tiles, damaging and pushing enemies.</t>
  </si>
  <si>
    <t>Aim one of 8 directions. The wave visibly rolls at walking speed; enemies can step sideways out of it.</t>
  </si>
  <si>
    <t>+25 Water Mastery when learned, +2.0 per use vs. enemies near your level, up to 150</t>
  </si>
  <si>
    <t>W16</t>
  </si>
  <si>
    <t>Rising Tide</t>
  </si>
  <si>
    <t>Party buff</t>
  </si>
  <si>
    <t>Rising Tide Scroll</t>
  </si>
  <si>
    <t>You and allies within 3 tiles gain Crit Rate and Haste for 60s.</t>
  </si>
  <si>
    <t>You and allies within 3 tiles at the moment of casting.</t>
  </si>
  <si>
    <t>W17</t>
  </si>
  <si>
    <t>Healing Rain</t>
  </si>
  <si>
    <t>AoE heal</t>
  </si>
  <si>
    <t>Monsoon Scroll</t>
  </si>
  <si>
    <t>3x3 zone that heals allies inside for 10s.</t>
  </si>
  <si>
    <t>Pick a tile within 5; 3x3 zone.</t>
  </si>
  <si>
    <t>+25 Water Mastery when learned, +1.0 per use vs. enemies near your level, up to 150</t>
  </si>
  <si>
    <t>W18</t>
  </si>
  <si>
    <t>Steam Veil</t>
  </si>
  <si>
    <t>Party defense / Damage</t>
  </si>
  <si>
    <t>Ice Prison; Fire Mastery 350</t>
  </si>
  <si>
    <t>Steam Scroll</t>
  </si>
  <si>
    <t>4x4 scalding fog for 10s: allies gain Evasion, enemies take damage over time.</t>
  </si>
  <si>
    <t>Pick a tile within 5; 4x4 zone.</t>
  </si>
  <si>
    <t>W19</t>
  </si>
  <si>
    <t>Bloodbending</t>
  </si>
  <si>
    <t>CC / Damage</t>
  </si>
  <si>
    <t>Crimson Moon Codex</t>
  </si>
  <si>
    <t>Control an enemy's movement for 3s and damage it each second.</t>
  </si>
  <si>
    <t>Enemy within 4. While it lasts, you stand still and steer its steps with your movement keys.</t>
  </si>
  <si>
    <t>W20</t>
  </si>
  <si>
    <t>Octopus Form</t>
  </si>
  <si>
    <t>Self buff / Damage</t>
  </si>
  <si>
    <t>Water Jet; Water Shield</t>
  </si>
  <si>
    <t>Eight Arms Scroll</t>
  </si>
  <si>
    <t>10s: eight water tentacles block projectiles and lash adjacent enemies automatically.</t>
  </si>
  <si>
    <t>Tentacles automatically hit adjacent enemies and block incoming projectiles.</t>
  </si>
  <si>
    <t>W21</t>
  </si>
  <si>
    <t>Full Moon</t>
  </si>
  <si>
    <t>Full Moon Codex</t>
  </si>
  <si>
    <t>30s: all water damage, healing and buffs are 30% stronger.</t>
  </si>
  <si>
    <t>+50 Water Mastery when learned, +10.0 per use vs. enemies near your level, up to 200</t>
  </si>
  <si>
    <t>W22</t>
  </si>
  <si>
    <t>Ocean Spirit</t>
  </si>
  <si>
    <t>Healing Rain; Leeching Tide</t>
  </si>
  <si>
    <t>Ocean Spirit Codex</t>
  </si>
  <si>
    <t>20s: 40% of all water damage you deal heals you or the lowest-HP ally within 3 tiles.</t>
  </si>
  <si>
    <t>Bonus healing goes to you or the lowest-HP ally within 3 automatically.</t>
  </si>
  <si>
    <t>W23</t>
  </si>
  <si>
    <t>Tidal Resurgence</t>
  </si>
  <si>
    <t>Mass resurrection</t>
  </si>
  <si>
    <t>Revive; Healing Rain</t>
  </si>
  <si>
    <t>Codex of Returning Tides</t>
  </si>
  <si>
    <t>Resurrect all fallen allies within 3 tiles at 20% HP.</t>
  </si>
  <si>
    <t>All fallen allies within 3 tiles. 3s cast.</t>
  </si>
  <si>
    <t>A01</t>
  </si>
  <si>
    <t>Air</t>
  </si>
  <si>
    <t>Winds</t>
  </si>
  <si>
    <t>Air Palm</t>
  </si>
  <si>
    <t>Open Palm Scroll</t>
  </si>
  <si>
    <t>Air Mastery, Magic Atk</t>
  </si>
  <si>
    <t>Light damage and knock an adjacent enemy back 1 tile.</t>
  </si>
  <si>
    <t>Adjacent enemy. Pushes it directly away from you (snapped to 8 directions).</t>
  </si>
  <si>
    <t>+5 Air Mastery when learned, +0.2 per use vs. enemies near your level, up to 50</t>
  </si>
  <si>
    <t>A02</t>
  </si>
  <si>
    <t>Breath</t>
  </si>
  <si>
    <t>Gust</t>
  </si>
  <si>
    <t>Interrupt / Damage</t>
  </si>
  <si>
    <t>Breeze Scroll</t>
  </si>
  <si>
    <t>Range 3; light damage and interrupts an enemy's cast.</t>
  </si>
  <si>
    <t>Enemy within 3. Instant and can't miss, so interrupts are reliable.</t>
  </si>
  <si>
    <t>+5 Air Mastery when learned, +0.4 per use vs. enemies near your level, up to 50</t>
  </si>
  <si>
    <t>A03</t>
  </si>
  <si>
    <t>Flight</t>
  </si>
  <si>
    <t>Air Step</t>
  </si>
  <si>
    <t>Featherstep Scroll</t>
  </si>
  <si>
    <t>Air Mastery</t>
  </si>
  <si>
    <t>Your next 5 steps have no cooldown.</t>
  </si>
  <si>
    <t>A04</t>
  </si>
  <si>
    <t>Wind Snare</t>
  </si>
  <si>
    <t>Snaring Wind Scroll</t>
  </si>
  <si>
    <t>Light damage and double an enemy's step cooldown for 4s.</t>
  </si>
  <si>
    <t>Aim at an enemy within 4. Fast gust at any angle; hits the first unit in its path.</t>
  </si>
  <si>
    <t>A05</t>
  </si>
  <si>
    <t>Air Blast</t>
  </si>
  <si>
    <t>Gale Scroll</t>
  </si>
  <si>
    <t>Knock an enemy back 3 tiles; bonus damage if it hits a wall or ledge.</t>
  </si>
  <si>
    <t>Enemy within 3. Knockback follows the line from you to it, snapped to 8 directions.</t>
  </si>
  <si>
    <t>+10 Air Mastery when learned, +0.6 per use vs. enemies near your level, up to 70</t>
  </si>
  <si>
    <t>A06</t>
  </si>
  <si>
    <t>Vortex</t>
  </si>
  <si>
    <t>Vortex Scroll</t>
  </si>
  <si>
    <t>Pull all enemies within 2 tiles of a point toward the center, dealing light damage.</t>
  </si>
  <si>
    <t>Pick a tile within 5; enemies within 2 of it are pulled toward it.</t>
  </si>
  <si>
    <t>A07</t>
  </si>
  <si>
    <t>Stolen Breath</t>
  </si>
  <si>
    <t>Hushing Scroll</t>
  </si>
  <si>
    <t>Light damage and silence an enemy for 2s.</t>
  </si>
  <si>
    <t>Enemy within 3.</t>
  </si>
  <si>
    <t>A08</t>
  </si>
  <si>
    <t>Glide</t>
  </si>
  <si>
    <t>Glider Scroll</t>
  </si>
  <si>
    <t>For 10s, cross gaps, drop from any height freely and climb 1 extra height level per step.</t>
  </si>
  <si>
    <t>A09</t>
  </si>
  <si>
    <t>Air Scooter</t>
  </si>
  <si>
    <t>Mobility / Damage</t>
  </si>
  <si>
    <t>Rolling Wind Scroll</t>
  </si>
  <si>
    <t>Step cooldown halved for 12s; moving into an enemy deals light damage and shoves it aside.</t>
  </si>
  <si>
    <t>No target; damage applies to any enemy you step into.</t>
  </si>
  <si>
    <t>A10</t>
  </si>
  <si>
    <t>Tornado</t>
  </si>
  <si>
    <t>Twister Scroll</t>
  </si>
  <si>
    <t>A tornado travels 5 tiles, dragging and damaging enemies.</t>
  </si>
  <si>
    <t>Aim one of 8 directions. The tornado travels slowly; enemies can step out of its path.</t>
  </si>
  <si>
    <t>+15 Air Mastery when learned, +0.8 per use vs. enemies near your level, up to 100</t>
  </si>
  <si>
    <t>A11</t>
  </si>
  <si>
    <t>Air Sphere</t>
  </si>
  <si>
    <t>Party defense</t>
  </si>
  <si>
    <t>Sphere Scroll</t>
  </si>
  <si>
    <t>Reflect projectiles aimed at an ally for 4s; reflected shots deal bonus damage.</t>
  </si>
  <si>
    <t>A12</t>
  </si>
  <si>
    <t>Suffocate</t>
  </si>
  <si>
    <t>Vacuum Scroll</t>
  </si>
  <si>
    <t>Channel: stun an enemy for up to 3s, dealing damage each second.</t>
  </si>
  <si>
    <t>Enemy within 3. Channel breaks if line of sight breaks.</t>
  </si>
  <si>
    <t>+15 Air Mastery when learned, +1.6 per use vs. enemies near your level, up to 100</t>
  </si>
  <si>
    <t>A13</t>
  </si>
  <si>
    <t>Cyclone Spin</t>
  </si>
  <si>
    <t>Air Blast; Vortex</t>
  </si>
  <si>
    <t>Cyclone Scroll</t>
  </si>
  <si>
    <t>Damage and knock all adjacent enemies back 2 tiles.</t>
  </si>
  <si>
    <t>All 8 tiles around you.</t>
  </si>
  <si>
    <t>A14</t>
  </si>
  <si>
    <t>Wind Walk</t>
  </si>
  <si>
    <t>Wind Walker Scroll</t>
  </si>
  <si>
    <t>Blink to any tile within 7, ignoring height, with a burst of wind that lightly damages adjacent enemies. 2 charges.</t>
  </si>
  <si>
    <t>Pick any tile within 7. Instant.</t>
  </si>
  <si>
    <t>A15</t>
  </si>
  <si>
    <t>Hurricane</t>
  </si>
  <si>
    <t>AoE CC / Damage</t>
  </si>
  <si>
    <t>Hurricane Codex</t>
  </si>
  <si>
    <t>5x5 storm for 6s: enemies are damaged, slowed and randomly shoved.</t>
  </si>
  <si>
    <t>Pick a tile within 6. 0.5s telegraph.</t>
  </si>
  <si>
    <t>+25 Air Mastery when learned, +2.0 per use vs. enemies near your level, up to 150</t>
  </si>
  <si>
    <t>A16</t>
  </si>
  <si>
    <t>Updraft</t>
  </si>
  <si>
    <t>Updraft Scroll</t>
  </si>
  <si>
    <t>Launch an enemy into the air for 2s (stunned, untargetable), then slam it down for damage.</t>
  </si>
  <si>
    <t>Enemy within 4. 0.3s wind-up.</t>
  </si>
  <si>
    <t>A17</t>
  </si>
  <si>
    <t>Storm Front</t>
  </si>
  <si>
    <t>AoE CC / Buff</t>
  </si>
  <si>
    <t>Tornado; Water Mastery 350</t>
  </si>
  <si>
    <t>Storm Front Scroll</t>
  </si>
  <si>
    <t>4x4 zone for 8s: enemies are damaged and slowed, allies gain Haste.</t>
  </si>
  <si>
    <t>A18</t>
  </si>
  <si>
    <t>Pressure Lock</t>
  </si>
  <si>
    <t>Pressure Scroll</t>
  </si>
  <si>
    <t>Root and lightly damage all enemies within 2 tiles for 2s.</t>
  </si>
  <si>
    <t>A19</t>
  </si>
  <si>
    <t>Sky Dancer</t>
  </si>
  <si>
    <t>Sky Dancer Codex</t>
  </si>
  <si>
    <t>10s: fly over any terrain and height, and steps have no cooldown.</t>
  </si>
  <si>
    <t>A20</t>
  </si>
  <si>
    <t>Weightless</t>
  </si>
  <si>
    <t>Party mobility</t>
  </si>
  <si>
    <t>Codex of Weightlessness</t>
  </si>
  <si>
    <t>15s: the whole party glides, ignores height and has step cooldowns halved.</t>
  </si>
  <si>
    <t>You and allies within 4 tiles at the moment of casting.</t>
  </si>
  <si>
    <t>+50 Air Mastery when learned, +10.0 per use vs. enemies near your level, up to 200</t>
  </si>
  <si>
    <t>A21</t>
  </si>
  <si>
    <t>Eye of the Storm</t>
  </si>
  <si>
    <t>Hurricane; Pressure Lock</t>
  </si>
  <si>
    <t>Eye of the Storm Codex</t>
  </si>
  <si>
    <t>7x7 cyclone: enemies are pulled to the center, damaged and stunned for 2s.</t>
  </si>
  <si>
    <t>Pick a tile within 6. 1s swirling telegraph before the pull.</t>
  </si>
  <si>
    <t>S01</t>
  </si>
  <si>
    <t>Sword</t>
  </si>
  <si>
    <t>Blade</t>
  </si>
  <si>
    <t>Slash</t>
  </si>
  <si>
    <t>Rusty Shortsword</t>
  </si>
  <si>
    <t>Sword Mastery, Phys Atk</t>
  </si>
  <si>
    <t>Basic strike on an adjacent enemy.</t>
  </si>
  <si>
    <t>Adjacent enemy.</t>
  </si>
  <si>
    <t>+5 Sword Mastery when learned, +0.2 per use vs. enemies near your level, up to 50</t>
  </si>
  <si>
    <t>S02</t>
  </si>
  <si>
    <t>Thrust</t>
  </si>
  <si>
    <t>Militia Rapier</t>
  </si>
  <si>
    <t>Strike an enemy up to 2 tiles away in a straight line.</t>
  </si>
  <si>
    <t>Pick one of 8 directions; hits whoever is on the 2 tiles in that line.</t>
  </si>
  <si>
    <t>S03</t>
  </si>
  <si>
    <t>Guard</t>
  </si>
  <si>
    <t>Parry</t>
  </si>
  <si>
    <t>Defense</t>
  </si>
  <si>
    <t>Duelist's Sabre</t>
  </si>
  <si>
    <t>Sword Mastery, Phys Def</t>
  </si>
  <si>
    <t>Block the next melee hit within 1s.</t>
  </si>
  <si>
    <t>1s block window.</t>
  </si>
  <si>
    <t>S04</t>
  </si>
  <si>
    <t>Footwork</t>
  </si>
  <si>
    <t>Lunge</t>
  </si>
  <si>
    <t>Traveler's Longsword</t>
  </si>
  <si>
    <t>Step up to 2 tiles and strike.</t>
  </si>
  <si>
    <t>Enemy within 3 with an open path. You step to a tile next to it and strike.</t>
  </si>
  <si>
    <t>S05</t>
  </si>
  <si>
    <t>Double Slash</t>
  </si>
  <si>
    <t>Twinfang Blade</t>
  </si>
  <si>
    <t>Two quick strikes.</t>
  </si>
  <si>
    <t>+10 Sword Mastery when learned, +0.3 per use vs. enemies near your level, up to 70</t>
  </si>
  <si>
    <t>S06</t>
  </si>
  <si>
    <t>Riposte</t>
  </si>
  <si>
    <t>Riposte Foil</t>
  </si>
  <si>
    <t>Parry; on success, counterattack for heavy damage.</t>
  </si>
  <si>
    <t>Counter fires automatically at whoever hit you.</t>
  </si>
  <si>
    <t>+10 Sword Mastery when learned, +0.6 per use vs. enemies near your level, up to 70</t>
  </si>
  <si>
    <t>S07</t>
  </si>
  <si>
    <t>Bleeding Cut</t>
  </si>
  <si>
    <t>Damage over time</t>
  </si>
  <si>
    <t>Serrated Cutlass</t>
  </si>
  <si>
    <t>A wound that bleeds for 8s.</t>
  </si>
  <si>
    <t>S08</t>
  </si>
  <si>
    <t>Piercing Thrust</t>
  </si>
  <si>
    <t>Needle Estoc</t>
  </si>
  <si>
    <t>Hit both enemies in a 2-tile line, ignoring some defense.</t>
  </si>
  <si>
    <t>Pick one of 8 directions; hits both tiles in the line.</t>
  </si>
  <si>
    <t>S09</t>
  </si>
  <si>
    <t>Feint</t>
  </si>
  <si>
    <t>Trickster's Blade</t>
  </si>
  <si>
    <t>Sword Mastery</t>
  </si>
  <si>
    <t>Lower an enemy's Evasion for 6s.</t>
  </si>
  <si>
    <t>S10</t>
  </si>
  <si>
    <t>Flurry</t>
  </si>
  <si>
    <t>Whirling Scimitar</t>
  </si>
  <si>
    <t>Five rapid strikes.</t>
  </si>
  <si>
    <t>Adjacent enemy. If it steps away mid-combo, remaining hits miss.</t>
  </si>
  <si>
    <t>+15 Sword Mastery when learned, +0.8 per use vs. enemies near your level, up to 100</t>
  </si>
  <si>
    <t>S11</t>
  </si>
  <si>
    <t>Disarm</t>
  </si>
  <si>
    <t>Guardian's Broadsword</t>
  </si>
  <si>
    <t>Lower an enemy's Physical Attack for 8s.</t>
  </si>
  <si>
    <t>S12</t>
  </si>
  <si>
    <t>Execute</t>
  </si>
  <si>
    <t>Headsman's Sword</t>
  </si>
  <si>
    <t>Heavy blow; triple damage on enemies below 25% HP.</t>
  </si>
  <si>
    <t>Adjacent enemy. Visible 0.4s wind-up; can be stepped away from.</t>
  </si>
  <si>
    <t>S13</t>
  </si>
  <si>
    <t>Blade Dance</t>
  </si>
  <si>
    <t>Dancer's Katana</t>
  </si>
  <si>
    <t>Dash 3 tiles, striking every enemy you pass.</t>
  </si>
  <si>
    <t>Pick a tile up to 3 away in one of 8 directions; hits every enemy you pass.</t>
  </si>
  <si>
    <t>S14</t>
  </si>
  <si>
    <t>Focus Stance</t>
  </si>
  <si>
    <t>Focus Blade</t>
  </si>
  <si>
    <t>Sword Mastery, Crit Rate</t>
  </si>
  <si>
    <t>Gain Crit Rate for 10s.</t>
  </si>
  <si>
    <t>S15</t>
  </si>
  <si>
    <t>Thousand Cuts</t>
  </si>
  <si>
    <t>Thousand-Edge Katana</t>
  </si>
  <si>
    <t>Channel 2s of nonstop strikes.</t>
  </si>
  <si>
    <t>Adjacent enemy. Channel ends if it steps away.</t>
  </si>
  <si>
    <t>+25 Sword Mastery when learned, +1.0 per use vs. enemies near your level, up to 150</t>
  </si>
  <si>
    <t>S16</t>
  </si>
  <si>
    <t>Counter Stance</t>
  </si>
  <si>
    <t>Mirror Blade</t>
  </si>
  <si>
    <t>4s: automatically counter every melee attack.</t>
  </si>
  <si>
    <t>Counters every melee attacker automatically.</t>
  </si>
  <si>
    <t>+25 Sword Mastery when learned, +2.0 per use vs. enemies near your level, up to 150</t>
  </si>
  <si>
    <t>S17</t>
  </si>
  <si>
    <t>Shadow Step</t>
  </si>
  <si>
    <t>Shadowfang</t>
  </si>
  <si>
    <t>Teleport behind an enemy within 4 tiles; your next hit is a guaranteed crit.</t>
  </si>
  <si>
    <t>Enemy within 4. You land on the tile behind it (or the nearest free tile).</t>
  </si>
  <si>
    <t>S18</t>
  </si>
  <si>
    <t>Elemental Edge</t>
  </si>
  <si>
    <t>Flurry; any element Mastery 350</t>
  </si>
  <si>
    <t>Runeblade</t>
  </si>
  <si>
    <t>10s: sword hits add damage from your highest element.</t>
  </si>
  <si>
    <t>S19</t>
  </si>
  <si>
    <t>Perfect Strike</t>
  </si>
  <si>
    <t>Execute; Focus Stance</t>
  </si>
  <si>
    <t>Masterwork Odachi</t>
  </si>
  <si>
    <t>Guaranteed critical hit with massive damage.</t>
  </si>
  <si>
    <t>Adjacent enemy. 0.6s wind-up; can be stepped away from.</t>
  </si>
  <si>
    <t>+50 Sword Mastery when learned, +4.0 per use vs. enemies near your level, up to 200</t>
  </si>
  <si>
    <t>S20</t>
  </si>
  <si>
    <t>Sword Saint</t>
  </si>
  <si>
    <t>Thousand Cuts; Shadow Step</t>
  </si>
  <si>
    <t>Saintblade</t>
  </si>
  <si>
    <t>12s: sword cooldowns recover twice as fast.</t>
  </si>
  <si>
    <t>+50 Sword Mastery when learned, +10.0 per use vs. enemies near your level, up to 200</t>
  </si>
  <si>
    <t>B01</t>
  </si>
  <si>
    <t>Bow</t>
  </si>
  <si>
    <t>Marksman</t>
  </si>
  <si>
    <t>Quick Shot</t>
  </si>
  <si>
    <t>Hunter's Shortbow</t>
  </si>
  <si>
    <t>Bow Mastery, Phys Atk</t>
  </si>
  <si>
    <t>Fast shot, range 5.</t>
  </si>
  <si>
    <t>Enemy within 5. Fast arrow that can't miss; blocked by walls.</t>
  </si>
  <si>
    <t>+5 Bow Mastery when learned, +0.2 per use vs. enemies near your level, up to 50</t>
  </si>
  <si>
    <t>B02</t>
  </si>
  <si>
    <t>Aimed Shot</t>
  </si>
  <si>
    <t>Yew Longbow</t>
  </si>
  <si>
    <t>1s draw, range 7, heavy damage.</t>
  </si>
  <si>
    <t>Aim at an enemy within 7. Direction locks on release after the 1s draw; any angle; hits the first unit in its path.</t>
  </si>
  <si>
    <t>B03</t>
  </si>
  <si>
    <t>Survival</t>
  </si>
  <si>
    <t>Disengage</t>
  </si>
  <si>
    <t>Ranger's Bow</t>
  </si>
  <si>
    <t>Bow Mastery</t>
  </si>
  <si>
    <t>Leap back 2 tiles.</t>
  </si>
  <si>
    <t>Leap 2 tiles directly away from the way you're facing.</t>
  </si>
  <si>
    <t>+5 Bow Mastery when learned, +0.4 per use vs. enemies near your level, up to 50</t>
  </si>
  <si>
    <t>B04</t>
  </si>
  <si>
    <t>Hunter's Mark</t>
  </si>
  <si>
    <t>Tracker's Bow</t>
  </si>
  <si>
    <t>The marked enemy takes extra damage from every source for 15s.</t>
  </si>
  <si>
    <t>Enemy within 6.</t>
  </si>
  <si>
    <t>B05</t>
  </si>
  <si>
    <t>Volley</t>
  </si>
  <si>
    <t>Multi-Shot</t>
  </si>
  <si>
    <t>Triple-String Bow</t>
  </si>
  <si>
    <t>Hit up to 3 enemies.</t>
  </si>
  <si>
    <t>Your target plus up to 2 more enemies within 5, nearest first.</t>
  </si>
  <si>
    <t>+10 Bow Mastery when learned, +0.3 per use vs. enemies near your level, up to 70</t>
  </si>
  <si>
    <t>B06</t>
  </si>
  <si>
    <t>Piercing Arrow</t>
  </si>
  <si>
    <t>Piercer Longbow</t>
  </si>
  <si>
    <t>Passes through every enemy in a 6-tile line.</t>
  </si>
  <si>
    <t>Aim at any angle; pierces every enemy on the 6-tile line.</t>
  </si>
  <si>
    <t>+10 Bow Mastery when learned, +0.6 per use vs. enemies near your level, up to 70</t>
  </si>
  <si>
    <t>B07</t>
  </si>
  <si>
    <t>Poison Arrow</t>
  </si>
  <si>
    <t>Viper Bow</t>
  </si>
  <si>
    <t>Poison an enemy for 10s.</t>
  </si>
  <si>
    <t>Enemy within 5.</t>
  </si>
  <si>
    <t>B08</t>
  </si>
  <si>
    <t>Pinning Shot</t>
  </si>
  <si>
    <t>Pinning Recurve</t>
  </si>
  <si>
    <t>Root an enemy for 2s.</t>
  </si>
  <si>
    <t>Aim at an enemy within 5. Any angle; the first unit hit is rooted.</t>
  </si>
  <si>
    <t>B09</t>
  </si>
  <si>
    <t>High Ground</t>
  </si>
  <si>
    <t>Eagle's Perch Bow</t>
  </si>
  <si>
    <t>10s: extra damage and range for each height level above your target.</t>
  </si>
  <si>
    <t>B10</t>
  </si>
  <si>
    <t>Volley Bow</t>
  </si>
  <si>
    <t>Arrows rain on a 3x3 area.</t>
  </si>
  <si>
    <t>Pick a tile within 7. 0.5s telegraph.</t>
  </si>
  <si>
    <t>+15 Bow Mastery when learned, +0.8 per use vs. enemies near your level, up to 100</t>
  </si>
  <si>
    <t>B11</t>
  </si>
  <si>
    <t>Snipe</t>
  </si>
  <si>
    <t>Piercing Arrow; High Ground</t>
  </si>
  <si>
    <t>Sniper's Greatbow</t>
  </si>
  <si>
    <t>2s draw, range 10.</t>
  </si>
  <si>
    <t>Enemy within 10. 2s draw; cancels if the target breaks line of sight.</t>
  </si>
  <si>
    <t>B12</t>
  </si>
  <si>
    <t>Explosive Trap</t>
  </si>
  <si>
    <t>Trap</t>
  </si>
  <si>
    <t>Trapper's Bow</t>
  </si>
  <si>
    <t>Place a hidden trap that explodes when an enemy steps on it.</t>
  </si>
  <si>
    <t>Pick an empty tile within 3. Invisible to enemies.</t>
  </si>
  <si>
    <t>B13</t>
  </si>
  <si>
    <t>Rapid Fire</t>
  </si>
  <si>
    <t>Repeater Bow</t>
  </si>
  <si>
    <t>Channel 2s of rapid shots.</t>
  </si>
  <si>
    <t>Every arrow goes to your current target; channel ends if line of sight is lost.</t>
  </si>
  <si>
    <t>B14</t>
  </si>
  <si>
    <t>Camouflage</t>
  </si>
  <si>
    <t>Stealth</t>
  </si>
  <si>
    <t>Shadow Bow</t>
  </si>
  <si>
    <t>Hidden until you attack or 8s pass.</t>
  </si>
  <si>
    <t>+15 Bow Mastery when learned, +1.6 per use vs. enemies near your level, up to 100</t>
  </si>
  <si>
    <t>B15</t>
  </si>
  <si>
    <t>Rain of Arrows</t>
  </si>
  <si>
    <t>Rainmaker</t>
  </si>
  <si>
    <t>5x5 barrage for 4s.</t>
  </si>
  <si>
    <t>Pick a tile within 8. 0.75s telegraph.</t>
  </si>
  <si>
    <t>+25 Bow Mastery when learned, +2.0 per use vs. enemies near your level, up to 150</t>
  </si>
  <si>
    <t>B16</t>
  </si>
  <si>
    <t>Wind Arrow</t>
  </si>
  <si>
    <t>Snipe; Air Mastery 350</t>
  </si>
  <si>
    <t>Windstring Bow</t>
  </si>
  <si>
    <t>Range 12; knocks the target back 3 tiles.</t>
  </si>
  <si>
    <t>Aim at any angle, range 12. Very fast; knockback follows the arrow's path.</t>
  </si>
  <si>
    <t>+25 Bow Mastery when learned, +1.0 per use vs. enemies near your level, up to 150</t>
  </si>
  <si>
    <t>B17</t>
  </si>
  <si>
    <t>Kill Shot</t>
  </si>
  <si>
    <t>Executioner's Bow</t>
  </si>
  <si>
    <t>Only usable on enemies below 20% HP; huge damage.</t>
  </si>
  <si>
    <t>Enemy within 8 below 20% HP. Can't miss.</t>
  </si>
  <si>
    <t>B18</t>
  </si>
  <si>
    <t>Ricochet</t>
  </si>
  <si>
    <t>Ricochet Bow</t>
  </si>
  <si>
    <t>An arrow that bounces between up to 4 enemies.</t>
  </si>
  <si>
    <t>Hits your target, then bounces to the nearest enemy within 3 each time.</t>
  </si>
  <si>
    <t>B19</t>
  </si>
  <si>
    <t>Deadeye</t>
  </si>
  <si>
    <t>Kill Shot; High Ground</t>
  </si>
  <si>
    <t>Deadeye Greatbow</t>
  </si>
  <si>
    <t>Bow Mastery, Crit Rate</t>
  </si>
  <si>
    <t>10s: every shot is a critical hit.</t>
  </si>
  <si>
    <t>+50 Bow Mastery when learned, +10.0 per use vs. enemies near your level, up to 200</t>
  </si>
  <si>
    <t>B20</t>
  </si>
  <si>
    <t>Arrowstorm</t>
  </si>
  <si>
    <t>Rain of Arrows; Ricochet</t>
  </si>
  <si>
    <t>Stormcaller Bow</t>
  </si>
  <si>
    <t>7x7 barrage for 5s.</t>
  </si>
  <si>
    <t>Pick a tile within 8. 1s telegraph.</t>
  </si>
  <si>
    <t>H01</t>
  </si>
  <si>
    <t>Hammer</t>
  </si>
  <si>
    <t>Smash</t>
  </si>
  <si>
    <t>Iron Mallet</t>
  </si>
  <si>
    <t>Hammer Mastery, Phys Atk</t>
  </si>
  <si>
    <t>Heavy strike on an adjacent enemy.</t>
  </si>
  <si>
    <t>Adjacent enemy. 0.3s wind-up; can be stepped away from.</t>
  </si>
  <si>
    <t>+5 Hammer Mastery when learned, +0.2 per use vs. enemies near your level, up to 50</t>
  </si>
  <si>
    <t>H02</t>
  </si>
  <si>
    <t>Quake</t>
  </si>
  <si>
    <t>Ground Slam</t>
  </si>
  <si>
    <t>Quarry Maul</t>
  </si>
  <si>
    <t>Hit all adjacent enemies.</t>
  </si>
  <si>
    <t>H03</t>
  </si>
  <si>
    <t>Juggernaut</t>
  </si>
  <si>
    <t>Brace</t>
  </si>
  <si>
    <t>Bulwark Hammer</t>
  </si>
  <si>
    <t>Hammer Mastery, Phys Def</t>
  </si>
  <si>
    <t>Take 20% less damage for 6s.</t>
  </si>
  <si>
    <t>+5 Hammer Mastery when learned, +0.4 per use vs. enemies near your level, up to 50</t>
  </si>
  <si>
    <t>H04</t>
  </si>
  <si>
    <t>Wide Swing</t>
  </si>
  <si>
    <t>Broad Maul</t>
  </si>
  <si>
    <t>Hit 3 tiles in a frontal arc.</t>
  </si>
  <si>
    <t>The 3-tile arc in the direction you're facing.</t>
  </si>
  <si>
    <t>H05</t>
  </si>
  <si>
    <t>Shockwave</t>
  </si>
  <si>
    <t>Shockwave Maul</t>
  </si>
  <si>
    <t>A shockwave travels 4 tiles in a line.</t>
  </si>
  <si>
    <t>Aim one of 8 directions. Travels 4 tiles quickly.</t>
  </si>
  <si>
    <t>+10 Hammer Mastery when learned, +0.6 per use vs. enemies near your level, up to 70</t>
  </si>
  <si>
    <t>H06</t>
  </si>
  <si>
    <t>Concussive Blow</t>
  </si>
  <si>
    <t>Skullcracker</t>
  </si>
  <si>
    <t>Stun an enemy for 1s.</t>
  </si>
  <si>
    <t>H07</t>
  </si>
  <si>
    <t>Leap Slam</t>
  </si>
  <si>
    <t>Mobility / AoE</t>
  </si>
  <si>
    <t>Wyvern Maul</t>
  </si>
  <si>
    <t>Leap up to 3 tiles and hit every enemy around the landing spot.</t>
  </si>
  <si>
    <t>Pick a tile within 3 to land on; hits everything adjacent to it.</t>
  </si>
  <si>
    <t>H08</t>
  </si>
  <si>
    <t>Sweeping Strike</t>
  </si>
  <si>
    <t>AoE CC</t>
  </si>
  <si>
    <t>Sweeper Maul</t>
  </si>
  <si>
    <t>Frontal arc that knocks enemies back 1 tile.</t>
  </si>
  <si>
    <t>Arc in the direction you're facing; pushes enemies away from you.</t>
  </si>
  <si>
    <t>H09</t>
  </si>
  <si>
    <t>Momentum</t>
  </si>
  <si>
    <t>Pendulum Hammer</t>
  </si>
  <si>
    <t>10s: each consecutive hit deals more damage (stacks 5 times).</t>
  </si>
  <si>
    <t>H10</t>
  </si>
  <si>
    <t>Crater</t>
  </si>
  <si>
    <t>Crater Maul</t>
  </si>
  <si>
    <t>Smash a 3x3 area down 1 height level.</t>
  </si>
  <si>
    <t>Pick a tile within 2; 3x3 area.</t>
  </si>
  <si>
    <t>+15 Hammer Mastery when learned, +0.8 per use vs. enemies near your level, up to 100</t>
  </si>
  <si>
    <t>H11</t>
  </si>
  <si>
    <t>Hammer Cyclone</t>
  </si>
  <si>
    <t>Cyclone Hammer</t>
  </si>
  <si>
    <t>Spin, hitting all enemies within 2 tiles.</t>
  </si>
  <si>
    <t>H12</t>
  </si>
  <si>
    <t>Armor Crush</t>
  </si>
  <si>
    <t>Armorbreaker</t>
  </si>
  <si>
    <t>Lower the Physical Defense of enemies in a frontal arc for 8s.</t>
  </si>
  <si>
    <t>Arc in the direction you're facing.</t>
  </si>
  <si>
    <t>H13</t>
  </si>
  <si>
    <t>Tremor</t>
  </si>
  <si>
    <t>Shockwave; Earth Mastery 350</t>
  </si>
  <si>
    <t>Tremor Maul</t>
  </si>
  <si>
    <t>3x3 slow and damage for 6s.</t>
  </si>
  <si>
    <t>Pick a tile within 4; 3x3 zone.</t>
  </si>
  <si>
    <t>H14</t>
  </si>
  <si>
    <t>Unstoppable</t>
  </si>
  <si>
    <t>Unyielding Hammer</t>
  </si>
  <si>
    <t>Hammer Mastery</t>
  </si>
  <si>
    <t>Immune to crowd control for 5s.</t>
  </si>
  <si>
    <t>+15 Hammer Mastery when learned, +1.6 per use vs. enemies near your level, up to 100</t>
  </si>
  <si>
    <t>H15</t>
  </si>
  <si>
    <t>Meteor Leap</t>
  </si>
  <si>
    <t>Meteor Maul</t>
  </si>
  <si>
    <t>Leap up to 5 tiles; massive damage within 2 tiles of landing.</t>
  </si>
  <si>
    <t>Pick a tile within 5. The landing spot is marked for 0.75s while you're airborne.</t>
  </si>
  <si>
    <t>+25 Hammer Mastery when learned, +2.0 per use vs. enemies near your level, up to 150</t>
  </si>
  <si>
    <t>H16</t>
  </si>
  <si>
    <t>Earthshatter</t>
  </si>
  <si>
    <t>Shatter a 4-tile cone.</t>
  </si>
  <si>
    <t>Aim one of 8 directions. 4-tile cone after a 0.5s wind-up.</t>
  </si>
  <si>
    <t>+25 Hammer Mastery when learned, +1.0 per use vs. enemies near your level, up to 150</t>
  </si>
  <si>
    <t>H17</t>
  </si>
  <si>
    <t>Thunderclap</t>
  </si>
  <si>
    <t>Hammer Cyclone; Air Mastery 350</t>
  </si>
  <si>
    <t>Thunder Hammer</t>
  </si>
  <si>
    <t>Hit all enemies within 2 tiles and slow them.</t>
  </si>
  <si>
    <t>H18</t>
  </si>
  <si>
    <t>Juggernaut Charge</t>
  </si>
  <si>
    <t>Mobility / CC</t>
  </si>
  <si>
    <t>Juggernaut Maul</t>
  </si>
  <si>
    <t>Charge 5 tiles, knocking aside every enemy in the path.</t>
  </si>
  <si>
    <t>Pick a direction (8-way) up to 5 tiles; stops at walls.</t>
  </si>
  <si>
    <t>H19</t>
  </si>
  <si>
    <t>Worldbreaker</t>
  </si>
  <si>
    <t>Meteor Leap; Earthshatter</t>
  </si>
  <si>
    <t>Huge strike over a 5x5 area.</t>
  </si>
  <si>
    <t>Pick a tile within 3. 1s wind-up.</t>
  </si>
  <si>
    <t>+50 Hammer Mastery when learned, +10.0 per use vs. enemies near your level, up to 200</t>
  </si>
  <si>
    <t>H20</t>
  </si>
  <si>
    <t>Titan's Fury</t>
  </si>
  <si>
    <t>Juggernaut Charge; Hammer Cyclone</t>
  </si>
  <si>
    <t>Titan's Maul</t>
  </si>
  <si>
    <t>12s: every hammer hit also damages enemies adjacent to the target.</t>
  </si>
  <si>
    <t>No target; extra damage hits enemies next to whatever you strike.</t>
  </si>
  <si>
    <t>Meaning</t>
  </si>
  <si>
    <t>Starter abilities, learnable right away</t>
  </si>
  <si>
    <t>First upgrades</t>
  </si>
  <si>
    <t>Core specialty abilities; hybrid abilities need 350 in a second tree</t>
  </si>
  <si>
    <t>Advanced and hybrid abilities</t>
  </si>
  <si>
    <t>Capstones</t>
  </si>
  <si>
    <t>Edit the yellow cells to retune every threshold; the Abilities sheet updates automatically.</t>
  </si>
  <si>
    <t>Mastery Stat</t>
  </si>
  <si>
    <t>Focus</t>
  </si>
  <si>
    <t>Branches</t>
  </si>
  <si>
    <t>Abilities</t>
  </si>
  <si>
    <t>Tier 1</t>
  </si>
  <si>
    <t>Tier 2</t>
  </si>
  <si>
    <t>Tier 3</t>
  </si>
  <si>
    <t>Tier 4</t>
  </si>
  <si>
    <t>Tier 5</t>
  </si>
  <si>
    <t>Fire Mastery</t>
  </si>
  <si>
    <t>Pure DPS</t>
  </si>
  <si>
    <t>Flame Martial, Fire Blasts, Advanced Fire</t>
  </si>
  <si>
    <t>Tanking + reshaping terrain</t>
  </si>
  <si>
    <t>Stone Guard, Terraform, Specialty Bending</t>
  </si>
  <si>
    <t>Healing + buffing</t>
  </si>
  <si>
    <t>Healing, Currents, Blessings, Ice</t>
  </si>
  <si>
    <t>Crowd control</t>
  </si>
  <si>
    <t>Winds, Breath, Flight</t>
  </si>
  <si>
    <t>Melee DPS</t>
  </si>
  <si>
    <t>Blade, Guard, Footwork</t>
  </si>
  <si>
    <t>Ranged DPS</t>
  </si>
  <si>
    <t>Marksman, Survival, Volley</t>
  </si>
  <si>
    <t>Melee AoE</t>
  </si>
  <si>
    <t>Smash, Quake, Juggernaut</t>
  </si>
  <si>
    <t>Total</t>
  </si>
  <si>
    <t>How the tree works</t>
  </si>
  <si>
    <t>Learning</t>
  </si>
  <si>
    <t>Every ability is taught by exactly one named item (Taught By). Scrolls teach bending, weapons teach weapon arts. A hero has a single learning slot: only the item in that slot earns AP toward its ability.</t>
  </si>
  <si>
    <t>Unlocking</t>
  </si>
  <si>
    <t>An ability can be learned once you meet its Mastery Required AND have mastered every ability listed in Prerequisites.</t>
  </si>
  <si>
    <t>Hybrids</t>
  </si>
  <si>
    <t>Prerequisites like 'Air Mastery 350' mean you also need 350 Mastery in a second tree. These are the cross-element abilities (Lightning, Lavabending, Sandstorm, Steam...).</t>
  </si>
  <si>
    <t>Scaling</t>
  </si>
  <si>
    <t>Damage, healing, shield size, duration and charges scale with the tree's Mastery stat plus the stat in Scales With.</t>
  </si>
  <si>
    <t>Specialist count</t>
  </si>
  <si>
    <t>Each tree has 20–23 abilities. A specialist who masters one tree and goes deep in a second (e.g. Fire + Sword) knows about 30.</t>
  </si>
  <si>
    <t>Editing</t>
  </si>
  <si>
    <t>Add an ability</t>
  </si>
  <si>
    <t>Add a row, give it a new ID (e.g. F22), pick Tree and Tier from the dropdowns, and copy the Mastery Required formula down from the row above.</t>
  </si>
  <si>
    <t>Write prerequisite ability names separated by semicolons, exactly as spelled in the Ability column.</t>
  </si>
  <si>
    <t>Blue numbers</t>
  </si>
  <si>
    <t>Cooldowns are starting values for playtesting — edit freely.</t>
  </si>
  <si>
    <t>Colors</t>
  </si>
  <si>
    <t>Row color = tree. Filter by Tree, Branch or Tier with the header arrows.</t>
  </si>
  <si>
    <t>Pick a unit; locks on and can't miss. Limits: range, line of sight, and any cast time the target can escape.</t>
  </si>
  <si>
    <t>Aim at an enemy or a direction; the shot locks on release and travels along a tile line (any angle, or 8-way where noted). Misses if the target moved.</t>
  </si>
  <si>
    <t>Pick a tile; the area is telegraphed before it goes off so units can step out.</t>
  </si>
  <si>
    <t>Centered on or affecting the caster; no aiming.</t>
  </si>
  <si>
    <t>Dodge rule</t>
  </si>
  <si>
    <t>A skillshot or telegraph is only dodgeable if its warning time is longer than the step cooldown plus ~0.3s reaction.</t>
  </si>
  <si>
    <t>Mastery growth</t>
  </si>
  <si>
    <t>On learn</t>
  </si>
  <si>
    <t>Mastering an ability (full AP) grants a one-time Mastery bonus in its tree (Mastery on Learn).</t>
  </si>
  <si>
    <t>Per use</t>
  </si>
  <si>
    <t>Each use against an enemy at or near your level adds Mastery per Use, until that ability has contributed its Mastery Cap in total.</t>
  </si>
  <si>
    <t>Defaults</t>
  </si>
  <si>
    <t>Tier 1: +5, +0.2, cap 50 | Tier 2: +10, +0.3, cap 70 | Tier 3: +15, +0.4, cap 100 | Tier 4: +25, +0.5, cap 150 | Tier 5: +50, +1, cap 200. Per-use gain is multiplied by cooldown so slow abilities keep pace: x2 for 10–29s, x4 for 30–89s, x10 for 90s+. All values are per row and editable.</t>
  </si>
  <si>
    <t>Pacing</t>
  </si>
  <si>
    <t>Tier 1 caps total 200, enough to reach Tier 2 (150). Tiers 1–2 reach Tier 3 (350); Tiers 1–3 reach Tier 4 (600); Tiers 1–4 reach Tier 5 (900). A hero must use a tree's abilities to climb it.</t>
  </si>
  <si>
    <t>Timing Status</t>
  </si>
  <si>
    <t>Timing Bar (s)</t>
  </si>
  <si>
    <t>Timing Zones</t>
  </si>
  <si>
    <t>Timing Notes</t>
  </si>
  <si>
    <t>Manual</t>
  </si>
  <si>
    <t>Tap 0.70–1.00; Crit 0.90–1.00</t>
  </si>
  <si>
    <t>Designer's bar: both zones at the very end.</t>
  </si>
  <si>
    <t>Generated (AI, not yet confirmed)</t>
  </si>
  <si>
    <t>Tap 0.85–1.15; Crit 1.05–1.15</t>
  </si>
  <si>
    <t>Fire: a late snap like Fire Punch, a little longer (bigger hit plus a burn).</t>
  </si>
  <si>
    <t>Tap 0.50–0.75; Crit 0.65–0.75</t>
  </si>
  <si>
    <t>Fire: quick projectile, short bar, late snap. The dart flies when you press.</t>
  </si>
  <si>
    <t>none</t>
  </si>
  <si>
    <t>No bar: an instant self-buff off the GCD.</t>
  </si>
  <si>
    <t>No bar: a dash (instants never have one).</t>
  </si>
  <si>
    <t>Tap 1.05–1.40; Crit 1.25–1.35</t>
  </si>
  <si>
    <t>Fire: a longer wind-up for a piercing line, late snap.</t>
  </si>
  <si>
    <t>Tap 1.45–1.85; Crit 1.70–1.80</t>
  </si>
  <si>
    <t>Fire: big spell, long bar, one late beat. The 0.4 s area warning still follows the press.</t>
  </si>
  <si>
    <t>Tap 1.00–1.40; Crit 1.25–1.35</t>
  </si>
  <si>
    <t>Fire: late snap; power scales the burn per second.</t>
  </si>
  <si>
    <t>Fire: late snap. Planned: three taps, one per hit, once bars take several inputs.</t>
  </si>
  <si>
    <t>Not implemented</t>
  </si>
  <si>
    <t>Tap 1.10–1.50; Crit 1.25–1.35</t>
  </si>
  <si>
    <t>Earth: one heavy beat, a wide window late in a long bar.</t>
  </si>
  <si>
    <t>No bar: terrain (timing has nothing to scale yet).</t>
  </si>
  <si>
    <t>No bar: a taunt.</t>
  </si>
  <si>
    <t>No bar: terrain wall.</t>
  </si>
  <si>
    <t>Hold 0.50–1.75</t>
  </si>
  <si>
    <t>Water: a hold. Timing power scales the heal.</t>
  </si>
  <si>
    <t>Hold 0.75–2.75</t>
  </si>
  <si>
    <t>Designer's bar: hold 2 s, ending 0.25 s before the bar.</t>
  </si>
  <si>
    <t>No bar: a buff (timing has nothing to scale yet).</t>
  </si>
  <si>
    <t>Hold 0.40–1.25</t>
  </si>
  <si>
    <t>Water: a short hold; the shard flies when you let go.</t>
  </si>
  <si>
    <t>Hold 0.50–2.25</t>
  </si>
  <si>
    <t>Water: a long hold for a long heal; power scales the total healing.</t>
  </si>
  <si>
    <t>Water: a hold building the wave.</t>
  </si>
  <si>
    <t>Hold 0.75–2.25</t>
  </si>
  <si>
    <t>Water: a hold; the drain heals you half the (scaled) damage.</t>
  </si>
  <si>
    <t>Water: a hold. The 0.4 s area warning still follows the release.</t>
  </si>
  <si>
    <t>Tap 0.20–0.45; Crit 0.30–0.40</t>
  </si>
  <si>
    <t>Air: quick, early beat.</t>
  </si>
  <si>
    <t>No bar: an interrupt must be instant to catch a wind-up.</t>
  </si>
  <si>
    <t>No bar: movement buff off the GCD.</t>
  </si>
  <si>
    <t>Tap 0.30–0.60; Crit 0.40–0.50</t>
  </si>
  <si>
    <t>Air: early beat in a slightly longer bar.</t>
  </si>
  <si>
    <t>Tap 0.35–0.65; Crit 0.45–0.55</t>
  </si>
  <si>
    <t>Designer's bar: one beat in the middle.</t>
  </si>
  <si>
    <t>No bar: a dash then a strike (dashes have no bar).</t>
  </si>
  <si>
    <t>Tap 0.80–1.10; Crit 0.95–1.05</t>
  </si>
  <si>
    <t>Hammer: a late heavy beat; replaces its 0.3 s wind-up.</t>
  </si>
  <si>
    <t>Hammer: a late heavy beat.</t>
  </si>
  <si>
    <t>Timing bars: how they work</t>
  </si>
  <si>
    <t>What it is</t>
  </si>
  <si>
    <t>When a hero uses an ability with a timing bar, it doesn't go off at once: the bar runs for Timing Bar (s) and the player right-clicks on its zones. Good timing gives full power or a critical; bad timing still casts, weaker. Nothing is worse than a reduced hit.</t>
  </si>
  <si>
    <t>Which abilities</t>
  </si>
  <si>
    <t>Important abilities get long bars, quick ones short bars. Instants never have a bar: dashes, interrupts, potions, and for now buffs, taunts and terrain (timing has nothing to scale on them yet).</t>
  </si>
  <si>
    <t>Starting a bar</t>
  </si>
  <si>
    <t>The global cooldown starts with the bar. Mana and the ability's cooldown are paid when it goes off. The bar replaces any cast time or wind-up the ability had (Aimed Shot's draw, Smash's wind-up).</t>
  </si>
  <si>
    <t>Cancelling</t>
  </si>
  <si>
    <t>Moving, a stun, an interrupt, or a Targeted target leaving range or line of sight cancels the bar; the cooldown is not spent.</t>
  </si>
  <si>
    <t>Who plays them</t>
  </si>
  <si>
    <t>Heroes only. Enemies cast the same abilities straight away, without a bar.</t>
  </si>
  <si>
    <t>Zones</t>
  </si>
  <si>
    <t>Zone</t>
  </si>
  <si>
    <t>Colour</t>
  </si>
  <si>
    <t>Input</t>
  </si>
  <si>
    <t>Result</t>
  </si>
  <si>
    <t>Tap</t>
  </si>
  <si>
    <t>Green</t>
  </si>
  <si>
    <t>Right-click inside it</t>
  </si>
  <si>
    <t>Success: full power</t>
  </si>
  <si>
    <t>Crit</t>
  </si>
  <si>
    <t>Yellow</t>
  </si>
  <si>
    <t>Critical success: full power, every hit is a critical</t>
  </si>
  <si>
    <t>Sits inside a Tap zone.</t>
  </si>
  <si>
    <t>Hold</t>
  </si>
  <si>
    <t>Blue</t>
  </si>
  <si>
    <t>Press right-click as it starts, let go as it ends</t>
  </si>
  <si>
    <t>Judged by accuracy (Holds, below)</t>
  </si>
  <si>
    <t>Ends 0.2–0.3 s before the bar.</t>
  </si>
  <si>
    <t>Outside</t>
  </si>
  <si>
    <t>Dark</t>
  </si>
  <si>
    <t>A tap outside every zone, or no press at all</t>
  </si>
  <si>
    <t>Miss: 70% power</t>
  </si>
  <si>
    <t>Outcomes: miss, success, critical success</t>
  </si>
  <si>
    <t>Outcome</t>
  </si>
  <si>
    <t>Power</t>
  </si>
  <si>
    <t>Critical hit</t>
  </si>
  <si>
    <t>Miss</t>
  </si>
  <si>
    <t>Outside the zones, or no press</t>
  </si>
  <si>
    <t>Accuracy 50% or less</t>
  </si>
  <si>
    <t>Normal chance (Crit Rate)</t>
  </si>
  <si>
    <t>Success</t>
  </si>
  <si>
    <t>Inside a green zone</t>
  </si>
  <si>
    <t>Accuracy between 50% and 95%</t>
  </si>
  <si>
    <t>Tap: 100%. Hold: rises steadily from 70% (at 50%) to 100% (at 95%)</t>
  </si>
  <si>
    <t>Critical success</t>
  </si>
  <si>
    <t>Inside a yellow zone</t>
  </si>
  <si>
    <t>Accuracy 95% or more</t>
  </si>
  <si>
    <t>Guaranteed on every hit</t>
  </si>
  <si>
    <t>What power scales</t>
  </si>
  <si>
    <t>Damage (direct hits, damage over time, burning ground), healing, heals over time and shields. Buff sizes and durations are not scaled.</t>
  </si>
  <si>
    <t>A critical multiplies the amount by 1 + (50 + Crit Damage) / 100, i.e. x1.5 with no Crit Damage.</t>
  </si>
  <si>
    <t>Shown on screen</t>
  </si>
  <si>
    <t>Holds</t>
  </si>
  <si>
    <t>Accuracy</t>
  </si>
  <si>
    <t>Accuracy = 1 - (how early or late you pressed + how early or late you let go) / the zone's length. Letting go after the zone ends counts as late.</t>
  </si>
  <si>
    <t>Power = 70% + 30% x (accuracy - 50%) / 45%, kept between 70% and 100%.</t>
  </si>
  <si>
    <t>Starting early</t>
  </si>
  <si>
    <t>A press up to 0.2 s before the blue zone starts the hold (that early part counts against accuracy). Earlier, it is a tap outside the zones: a miss.</t>
  </si>
  <si>
    <t>The end rule</t>
  </si>
  <si>
    <t>A hold zone always ends 0.2–0.3 s before its bar ends, so letting go on time is part of the skill. The import refuses a hold that breaks this.</t>
  </si>
  <si>
    <t>Never let go</t>
  </si>
  <si>
    <t>If the button is still held when the bar ends, the hold is judged as let go at the bar's end.</t>
  </si>
  <si>
    <t>On screen</t>
  </si>
  <si>
    <t>Margins of error and network</t>
  </si>
  <si>
    <t>Zone edges</t>
  </si>
  <si>
    <t>A press exactly on a zone's edge counts as inside it.</t>
  </si>
  <si>
    <t>Your screen decides</t>
  </si>
  <si>
    <t>The game measures your press against the bar as you saw it and sends that time; the host judges it. It accepts a time at most 0.3 s ahead of its own clock.</t>
  </si>
  <si>
    <t>No press</t>
  </si>
  <si>
    <t>With no press the host waits 0.25 s after the bar ends (a press may still be on its way), then casts at miss power.</t>
  </si>
  <si>
    <t>Game speed</t>
  </si>
  <si>
    <t>Bars follow the game speed slider (Escape menu &gt; Gameplay test): at x0.5 a 1 s bar takes 2 real seconds.</t>
  </si>
  <si>
    <t>Display options (Escape menu &gt; Gameplay test)</t>
  </si>
  <si>
    <t>Where</t>
  </si>
  <si>
    <t>Under your hero (220 x 15 px) or above the action bar (440 x 30 px). The ability's name is written above the bar, so a wrong key shows at once.</t>
  </si>
  <si>
    <t>Mode 1</t>
  </si>
  <si>
    <t>Bar length follows the ability: the full length stands for 3 s, a cursor sweeps across at a steady speed, and a 1 s bar is a third of the full length, centred.</t>
  </si>
  <si>
    <t>Mode 2</t>
  </si>
  <si>
    <t>Zones slide to a fixed hit line: the bar keeps its full length (a 3 s window), a white hit line sits 0.4 s from the left, and the zones slide toward it at the same steady speed. Thin marks show where the ability's bar starts and ends.</t>
  </si>
  <si>
    <t>Writing the timing columns (Abilities tab)</t>
  </si>
  <si>
    <t>Manual (the designer's own), Generated (AI, not yet confirmed) (an AI draft to review), or Not implemented. Manual and Generated designs are both in the game.</t>
  </si>
  <si>
    <t>The bar's length in seconds, or 'none' for an ability that has no bar (an instant).</t>
  </si>
  <si>
    <t>Free text: the idea behind the design.</t>
  </si>
  <si>
    <t>After editing</t>
  </si>
  <si>
    <t>Tunable values (ask to change them)</t>
  </si>
  <si>
    <t>Value</t>
  </si>
  <si>
    <t>Now</t>
  </si>
  <si>
    <t>Where in the game</t>
  </si>
  <si>
    <t>What it does</t>
  </si>
  <si>
    <t>Miss power</t>
  </si>
  <si>
    <t>CombatRules: timing_miss_power</t>
  </si>
  <si>
    <t>Power of a miss (tap outside, poor hold, no press).</t>
  </si>
  <si>
    <t>Hold: critical from</t>
  </si>
  <si>
    <t>TimingBarDef: HOLD_PERFECT</t>
  </si>
  <si>
    <t>Hold accuracy for a critical success.</t>
  </si>
  <si>
    <t>Hold: miss at or under</t>
  </si>
  <si>
    <t>TimingBarDef: HOLD_MISS</t>
  </si>
  <si>
    <t>Hold accuracy for a miss.</t>
  </si>
  <si>
    <t>Hold: early start</t>
  </si>
  <si>
    <t>0.2 s</t>
  </si>
  <si>
    <t>TimingBarDef: HOLD_START_TOLERANCE</t>
  </si>
  <si>
    <t>How early a press may start a hold.</t>
  </si>
  <si>
    <t>Hold: end gap</t>
  </si>
  <si>
    <t>0.2–0.3 s</t>
  </si>
  <si>
    <t>TimingBarDef: HOLD_END_GAP, HOLD_END_GAP_MAX</t>
  </si>
  <si>
    <t>How long before the bar's end a hold zone ends (checked on import).</t>
  </si>
  <si>
    <t>No-press wait</t>
  </si>
  <si>
    <t>0.25 s</t>
  </si>
  <si>
    <t>CombatRules: timing_press_grace_seconds</t>
  </si>
  <si>
    <t>Wait after the bar for a press on its way.</t>
  </si>
  <si>
    <t>Clock slack</t>
  </si>
  <si>
    <t>0.3 s</t>
  </si>
  <si>
    <t>WorldSim: TIMING_CLOCK_SLACK</t>
  </si>
  <si>
    <t>How far ahead of the host a client's press may be.</t>
  </si>
  <si>
    <t>Zone edge</t>
  </si>
  <si>
    <t>0.0001 s</t>
  </si>
  <si>
    <t>TimingBarDef: EPSILON</t>
  </si>
  <si>
    <t>Rounding margin on zone edges.</t>
  </si>
  <si>
    <t>Critical bonus</t>
  </si>
  <si>
    <t>CombatRules: base_crit_damage_percent</t>
  </si>
  <si>
    <t>Base critical multiplier (plus Crit Damage).</t>
  </si>
  <si>
    <t>Full bar length</t>
  </si>
  <si>
    <t>3 s</t>
  </si>
  <si>
    <t>TimingBarView: FULL_SECONDS</t>
  </si>
  <si>
    <t>Seconds the full bar stands for (on-screen speed).</t>
  </si>
  <si>
    <t>Bar size</t>
  </si>
  <si>
    <t>440 x 30 px</t>
  </si>
  <si>
    <t>TimingBarView: BAR</t>
  </si>
  <si>
    <t>Above the action bar; half that under the hero.</t>
  </si>
  <si>
    <t>Hit line</t>
  </si>
  <si>
    <t>0.4 s</t>
  </si>
  <si>
    <t>TimingBarView: HIT_LEAD_SECONDS</t>
  </si>
  <si>
    <t>Mode 2: where the hit line sits.</t>
  </si>
  <si>
    <t>Result shown</t>
  </si>
  <si>
    <t>0.8 s</t>
  </si>
  <si>
    <t>TimingBarView: RESULT_SECONDS</t>
  </si>
  <si>
    <t>How long 'Perfect!' / 'Good' / 'Miss' stays.</t>
  </si>
  <si>
    <t/>
  </si>
  <si>
    <t>70%</t>
  </si>
  <si>
    <t>100%</t>
  </si>
  <si>
    <t>Hold! is shown while holding and the held part turns light blue. Past the zone the label turns red (Let go!) and the extra time is drawn red; so is a press before the zone.</t>
  </si>
  <si>
    <t>0.7</t>
  </si>
  <si>
    <t>95%</t>
  </si>
  <si>
    <t>50%</t>
  </si>
  <si>
    <t>+50%</t>
  </si>
  <si>
    <t>Hold 0.25–1.75</t>
  </si>
  <si>
    <t>Designer's bar: hold 1.5 s at the end, ending 0.25 s before the bar. The arrow flies where the cursor points when you let go.</t>
  </si>
  <si>
    <t>Tap 0.20–0.60; Crit 0.35–0.45; Hold 1.00–3.75</t>
  </si>
  <si>
    <t>Designer's bar: a tap at the start (nock), then hold to the end (draw), ending 0.25 s before the bar. Replaces its 1 s draw. Fires where the cursor points when you let go.</t>
  </si>
  <si>
    <t>Inputs in order</t>
  </si>
  <si>
    <t>A bar may ask for several inputs (taps and holds), played in order, one press each (Aimed Shot: a tap, then a hold). A press goes to the next input whose window isn't over; an input skipped or never played counts as a miss. The ability goes off when the last input is played (a tap at once, a hold when let go), or when the bar ends.</t>
  </si>
  <si>
    <t>Aimed abilities</t>
  </si>
  <si>
    <t>Skillshots and ground abilities with a bar start their bar as soon as the key is pressed; the affected tiles follow the cursor during the bar, and the ability fires where the cursor points at the last input (a ground target beyond range is pulled back to the edge of the range). Aimed abilities without a bar (Flame Dash, Raise Pillar, Earth Wall) still aim first: hold the key, release to cast.</t>
  </si>
  <si>
    <t>Several inputs</t>
  </si>
  <si>
    <t>The bar's power is the average of its inputs' powers (a tap 70% or 100%, a hold 70% to 100% by accuracy). Critical success only if every input is perfect (a yellow tap, a 95%+ hold); a miss only if every input is a miss; otherwise a success. The accuracy shown is the inputs' average (a tap counts 100% when hit, 0% when missed).</t>
  </si>
  <si>
    <t>Above the bar for 0.8 s: Miss, Good or Perfect!; a bar with a hold or several inputs adds its accuracy, e.g. Good 88%.</t>
  </si>
  <si>
    <t>Zones separated by ';', each 'Tap a–b', 'Crit a–b' or 'Hold a–b', in seconds from the bar's start (for example 'Tap 0.35–0.65; Crit 0.45–0.55' or 'Hold 0.75–2.75', or a tap then a hold: 'Tap 0.20–0.60; Crit 0.35–0.45; Hold 1.00–3.75'). Dots or commas for decimals; '-' or '–' between the numbers.</t>
  </si>
  <si>
    <t>Re-import the sheet (docs/ability-import.md). The import checks that every zone is inside its bar, that holds end 0.2–0.3 s before the bar, that crits sit inside a tap, that inputs don't overlap, and that the numbers read; it refuses the file otherwise.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</si>
</sst>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Calibri"/>
      <family val="2"/>
      <charset val="1"/>
    </font>
    <font>
      <b/>
      <sz val="11"/>
      <color rgb="FFFFFFFF"/>
      <name val="Arial"/>
      <charset val="1"/>
    </font>
    <font>
      <sz val="11"/>
      <name val="Arial"/>
      <charset val="1"/>
    </font>
    <font>
      <b/>
      <sz val="11"/>
      <name val="Arial"/>
      <charset val="1"/>
    </font>
    <font>
      <i/>
      <sz val="11"/>
      <name val="Arial"/>
      <charset val="1"/>
    </font>
    <font>
      <sz val="11"/>
      <color rgb="FF0000FF"/>
      <name val="Arial"/>
      <charset val="1"/>
    </font>
  </fonts>
  <fills count="11">
    <fill>
      <patternFill patternType="none"/>
    </fill>
    <fill>
      <patternFill patternType="gray125"/>
    </fill>
    <fill>
      <patternFill patternType="solid">
        <fgColor rgb="FF2F3E55"/>
        <bgColor rgb="FF333399"/>
      </patternFill>
    </fill>
    <fill>
      <patternFill patternType="solid">
        <fgColor rgb="FFFDE2DA"/>
        <bgColor rgb="FFEBE3D3"/>
      </patternFill>
    </fill>
    <fill>
      <patternFill patternType="solid">
        <fgColor rgb="FFEBE3D3"/>
        <bgColor rgb="FFE8E8EE"/>
      </patternFill>
    </fill>
    <fill>
      <patternFill patternType="solid">
        <fgColor rgb="FFDCEBF7"/>
        <bgColor rgb="FFE8E8EE"/>
      </patternFill>
    </fill>
    <fill>
      <patternFill patternType="solid">
        <fgColor rgb="FFEEF3F5"/>
        <bgColor rgb="FFE8E8EE"/>
      </patternFill>
    </fill>
    <fill>
      <patternFill patternType="solid">
        <fgColor rgb="FFE8E8EE"/>
        <bgColor rgb="FFF1E6F2"/>
      </patternFill>
    </fill>
    <fill>
      <patternFill patternType="solid">
        <fgColor rgb="FFE3F0E0"/>
        <bgColor rgb="FFE8E8EE"/>
      </patternFill>
    </fill>
    <fill>
      <patternFill patternType="solid">
        <fgColor rgb="FFF1E6F2"/>
        <bgColor rgb="FFE8E8EE"/>
      </patternFill>
    </fill>
    <fill>
      <patternFill patternType="solid">
        <fgColor rgb="FFFFFF00"/>
        <bgColor rgb="FFFFFF00"/>
      </patternFill>
    </fill>
  </fills>
  <borders count="2">
    <border>
      <left/>
      <right/>
      <top/>
      <bottom/>
      <diagonal/>
    </border>
    <border>
      <left/>
      <right/>
      <top/>
      <bottom style="thin">
        <color rgb="FFD0D0D0"/>
      </bottom>
      <diagonal/>
    </border>
  </borders>
  <cellStyleXfs count="1">
    <xf numFmtId="0" fontId="0" fillId="0" borderId="0"/>
  </cellStyleXfs>
  <cellXfs count="51">
    <xf numFmtId="0" fontId="0" fillId="0" borderId="0" xfId="0"/>
    <xf numFmtId="0" fontId="1" fillId="2" borderId="0" xfId="0" applyFont="1" applyFill="1" applyAlignment="1">
      <alignment vertical="center" wrapText="1"/>
    </xf>
    <xf numFmtId="0" fontId="2" fillId="3" borderId="1" xfId="0" applyFont="1" applyFill="1" applyBorder="1" applyAlignment="1">
      <alignment vertical="top" wrapText="1"/>
    </xf>
    <xf numFmtId="0" fontId="2" fillId="3" borderId="1" xfId="0" applyFont="1" applyFill="1" applyBorder="1" applyAlignment="1">
      <alignment horizontal="center" vertical="top"/>
    </xf>
    <xf numFmtId="0" fontId="3" fillId="3" borderId="1" xfId="0" applyFont="1" applyFill="1" applyBorder="1" applyAlignment="1">
      <alignment vertical="top" wrapText="1"/>
    </xf>
    <xf numFmtId="0" fontId="4" fillId="3" borderId="1" xfId="0" applyFont="1" applyFill="1" applyBorder="1" applyAlignment="1">
      <alignment vertical="top" wrapText="1"/>
    </xf>
    <xf numFmtId="0" fontId="5" fillId="3" borderId="1" xfId="0" applyFont="1" applyFill="1" applyBorder="1" applyAlignment="1">
      <alignment horizontal="center" vertical="top"/>
    </xf>
    <xf numFmtId="0" fontId="2" fillId="4" borderId="1" xfId="0" applyFont="1" applyFill="1" applyBorder="1" applyAlignment="1">
      <alignment vertical="top" wrapText="1"/>
    </xf>
    <xf numFmtId="0" fontId="2" fillId="4" borderId="1" xfId="0" applyFont="1" applyFill="1" applyBorder="1" applyAlignment="1">
      <alignment horizontal="center" vertical="top"/>
    </xf>
    <xf numFmtId="0" fontId="3" fillId="4" borderId="1" xfId="0" applyFont="1" applyFill="1" applyBorder="1" applyAlignment="1">
      <alignment vertical="top" wrapText="1"/>
    </xf>
    <xf numFmtId="0" fontId="4" fillId="4" borderId="1" xfId="0" applyFont="1" applyFill="1" applyBorder="1" applyAlignment="1">
      <alignment vertical="top" wrapText="1"/>
    </xf>
    <xf numFmtId="0" fontId="5" fillId="4" borderId="1" xfId="0" applyFont="1" applyFill="1" applyBorder="1" applyAlignment="1">
      <alignment horizontal="center" vertical="top"/>
    </xf>
    <xf numFmtId="0" fontId="2" fillId="5" borderId="1" xfId="0" applyFont="1" applyFill="1" applyBorder="1" applyAlignment="1">
      <alignment vertical="top" wrapText="1"/>
    </xf>
    <xf numFmtId="0" fontId="2" fillId="5" borderId="1" xfId="0" applyFont="1" applyFill="1" applyBorder="1" applyAlignment="1">
      <alignment horizontal="center" vertical="top"/>
    </xf>
    <xf numFmtId="0" fontId="3" fillId="5" borderId="1" xfId="0" applyFont="1" applyFill="1" applyBorder="1" applyAlignment="1">
      <alignment vertical="top" wrapText="1"/>
    </xf>
    <xf numFmtId="0" fontId="4" fillId="5" borderId="1" xfId="0" applyFont="1" applyFill="1" applyBorder="1" applyAlignment="1">
      <alignment vertical="top" wrapText="1"/>
    </xf>
    <xf numFmtId="0" fontId="5" fillId="5" borderId="1" xfId="0" applyFont="1" applyFill="1" applyBorder="1" applyAlignment="1">
      <alignment horizontal="center" vertical="top"/>
    </xf>
    <xf numFmtId="0" fontId="2" fillId="6" borderId="1" xfId="0" applyFont="1" applyFill="1" applyBorder="1" applyAlignment="1">
      <alignment vertical="top" wrapText="1"/>
    </xf>
    <xf numFmtId="0" fontId="2" fillId="6" borderId="1" xfId="0" applyFont="1" applyFill="1" applyBorder="1" applyAlignment="1">
      <alignment horizontal="center" vertical="top"/>
    </xf>
    <xf numFmtId="0" fontId="3" fillId="6" borderId="1" xfId="0" applyFont="1" applyFill="1" applyBorder="1" applyAlignment="1">
      <alignment vertical="top" wrapText="1"/>
    </xf>
    <xf numFmtId="0" fontId="4" fillId="6" borderId="1" xfId="0" applyFont="1" applyFill="1" applyBorder="1" applyAlignment="1">
      <alignment vertical="top" wrapText="1"/>
    </xf>
    <xf numFmtId="0" fontId="5" fillId="6" borderId="1" xfId="0" applyFont="1" applyFill="1" applyBorder="1" applyAlignment="1">
      <alignment horizontal="center" vertical="top"/>
    </xf>
    <xf numFmtId="0" fontId="2" fillId="7" borderId="1" xfId="0" applyFont="1" applyFill="1" applyBorder="1" applyAlignment="1">
      <alignment vertical="top" wrapText="1"/>
    </xf>
    <xf numFmtId="0" fontId="2" fillId="7" borderId="1" xfId="0" applyFont="1" applyFill="1" applyBorder="1" applyAlignment="1">
      <alignment horizontal="center" vertical="top"/>
    </xf>
    <xf numFmtId="0" fontId="3" fillId="7" borderId="1" xfId="0" applyFont="1" applyFill="1" applyBorder="1" applyAlignment="1">
      <alignment vertical="top" wrapText="1"/>
    </xf>
    <xf numFmtId="0" fontId="4" fillId="7" borderId="1" xfId="0" applyFont="1" applyFill="1" applyBorder="1" applyAlignment="1">
      <alignment vertical="top" wrapText="1"/>
    </xf>
    <xf numFmtId="0" fontId="5" fillId="7" borderId="1" xfId="0" applyFont="1" applyFill="1" applyBorder="1" applyAlignment="1">
      <alignment horizontal="center" vertical="top"/>
    </xf>
    <xf numFmtId="0" fontId="2" fillId="8" borderId="1" xfId="0" applyFont="1" applyFill="1" applyBorder="1" applyAlignment="1">
      <alignment vertical="top" wrapText="1"/>
    </xf>
    <xf numFmtId="0" fontId="2" fillId="8" borderId="1" xfId="0" applyFont="1" applyFill="1" applyBorder="1" applyAlignment="1">
      <alignment horizontal="center" vertical="top"/>
    </xf>
    <xf numFmtId="0" fontId="3" fillId="8" borderId="1" xfId="0" applyFont="1" applyFill="1" applyBorder="1" applyAlignment="1">
      <alignment vertical="top" wrapText="1"/>
    </xf>
    <xf numFmtId="0" fontId="4" fillId="8" borderId="1" xfId="0" applyFont="1" applyFill="1" applyBorder="1" applyAlignment="1">
      <alignment vertical="top" wrapText="1"/>
    </xf>
    <xf numFmtId="0" fontId="5" fillId="8" borderId="1" xfId="0" applyFont="1" applyFill="1" applyBorder="1" applyAlignment="1">
      <alignment horizontal="center" vertical="top"/>
    </xf>
    <xf numFmtId="0" fontId="2" fillId="9" borderId="1" xfId="0" applyFont="1" applyFill="1" applyBorder="1" applyAlignment="1">
      <alignment vertical="top" wrapText="1"/>
    </xf>
    <xf numFmtId="0" fontId="2" fillId="9" borderId="1" xfId="0" applyFont="1" applyFill="1" applyBorder="1" applyAlignment="1">
      <alignment horizontal="center" vertical="top"/>
    </xf>
    <xf numFmtId="0" fontId="3" fillId="9" borderId="1" xfId="0" applyFont="1" applyFill="1" applyBorder="1" applyAlignment="1">
      <alignment vertical="top" wrapText="1"/>
    </xf>
    <xf numFmtId="0" fontId="4" fillId="9" borderId="1" xfId="0" applyFont="1" applyFill="1" applyBorder="1" applyAlignment="1">
      <alignment vertical="top" wrapText="1"/>
    </xf>
    <xf numFmtId="0" fontId="5" fillId="9" borderId="1" xfId="0" applyFont="1" applyFill="1" applyBorder="1" applyAlignment="1">
      <alignment horizontal="center" vertical="top"/>
    </xf>
    <xf numFmtId="0" fontId="1" fillId="2" borderId="0" xfId="0" applyFont="1" applyFill="1"/>
    <xf numFmtId="0" fontId="2" fillId="0" borderId="0" xfId="0" applyFont="1"/>
    <xf numFmtId="0" fontId="5" fillId="10" borderId="0" xfId="0" applyFont="1" applyFill="1"/>
    <xf numFmtId="0" fontId="4" fillId="0" borderId="0" xfId="0" applyFont="1"/>
    <xf numFmtId="0" fontId="2" fillId="0" borderId="0" xfId="0" applyFont="1" applyAlignment="1">
      <alignment vertical="top" wrapText="1"/>
    </xf>
    <xf numFmtId="0" fontId="3" fillId="0" borderId="0" xfId="0" applyFont="1" applyAlignment="1">
      <alignment vertical="top" wrapText="1"/>
    </xf>
    <xf numFmtId="0" fontId="1" fillId="2" borderId="0" xfId="0" applyFont="1" applyFill="1" applyAlignment="1">
      <alignment vertical="top"/>
    </xf>
    <xf numFmtId="0" fontId="2" fillId="2" borderId="0" xfId="0" applyFont="1" applyFill="1" applyAlignment="1">
      <alignment vertical="top" wrapText="1"/>
    </xf>
    <xf numFmtId="0" fontId="3" fillId="0" borderId="0" xfId="0" applyFont="1" applyAlignment="1">
      <alignment vertical="top"/>
    </xf>
    <xf numFmtId="0" fontId="0" fillId="0" borderId="0" xfId="0" applyAlignment="1">
      <alignment vertical="top" wrapText="1"/>
    </xf>
    <xf numFmtId="49" fontId="2" fillId="0" borderId="0" xfId="0" applyNumberFormat="1" applyFont="1" applyAlignment="1">
      <alignment vertical="top" wrapText="1"/>
    </xf>
    <xf numFmtId="49" fontId="1" fillId="2" borderId="0" xfId="0" applyNumberFormat="1" applyFont="1" applyFill="1" applyAlignment="1">
      <alignment vertical="top" wrapText="1"/>
    </xf>
    <xf numFmtId="49" fontId="2" fillId="0" borderId="0" xfId="0" applyNumberFormat="1" applyFont="1" applyAlignment="1">
      <alignment vertical="top" wrapText="1"/>
    </xf>
    <xf numFmtId="49" fontId="1" fillId="2" borderId="0" xfId="0" applyNumberFormat="1" applyFont="1" applyFill="1" applyAlignment="1">
      <alignment vertical="top" wrapText="1"/>
    </xf>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F1E6F2"/>
      <rgbColor rgb="FF808080"/>
      <rgbColor rgb="FF9999FF"/>
      <rgbColor rgb="FF993366"/>
      <rgbColor rgb="FFEEF3F5"/>
      <rgbColor rgb="FFDCEBF7"/>
      <rgbColor rgb="FF660066"/>
      <rgbColor rgb="FFFF8080"/>
      <rgbColor rgb="FF0066CC"/>
      <rgbColor rgb="FFD0D0D0"/>
      <rgbColor rgb="FF000080"/>
      <rgbColor rgb="FFFF00FF"/>
      <rgbColor rgb="FFFFFF00"/>
      <rgbColor rgb="FF00FFFF"/>
      <rgbColor rgb="FF800080"/>
      <rgbColor rgb="FF800000"/>
      <rgbColor rgb="FF008080"/>
      <rgbColor rgb="FF0000FF"/>
      <rgbColor rgb="FF00CCFF"/>
      <rgbColor rgb="FFE8E8EE"/>
      <rgbColor rgb="FFE3F0E0"/>
      <rgbColor rgb="FFEBE3D3"/>
      <rgbColor rgb="FF99CCFF"/>
      <rgbColor rgb="FFFF99CC"/>
      <rgbColor rgb="FFCC99FF"/>
      <rgbColor rgb="FFFDE2DA"/>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2F3E55"/>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X146"/>
  <sheetViews>
    <sheetView tabSelected="1" zoomScaleNormal="100" workbookViewId="0">
      <pane xSplit="6" ySplit="1" topLeftCell="T2" activePane="bottomRight" state="frozen"/>
      <selection pane="topRight" activeCell="G1" sqref="G1"/>
      <selection pane="bottomLeft" activeCell="A2" sqref="A2"/>
      <selection pane="bottomRight" activeCell="U1" sqref="U1:X146"/>
    </sheetView>
  </sheetViews>
  <sheetFormatPr defaultColWidth="8.7109375" defaultRowHeight="15" x14ac:dyDescent="0.25"/>
  <cols>
    <col min="1" max="1" width="7" customWidth="1"/>
    <col min="2" max="2" width="12" customWidth="1"/>
    <col min="3" max="3" width="17" customWidth="1"/>
    <col min="4" max="4" width="6" customWidth="1"/>
    <col min="5" max="6" width="22" customWidth="1"/>
    <col min="7" max="7" width="17" customWidth="1"/>
    <col min="8" max="8" width="30" customWidth="1"/>
    <col min="9" max="9" width="10" customWidth="1"/>
    <col min="10" max="11" width="26" customWidth="1"/>
    <col min="12" max="12" width="58" customWidth="1"/>
    <col min="13" max="13" width="12" customWidth="1"/>
    <col min="14" max="14" width="50" customWidth="1"/>
    <col min="15" max="18" width="11" customWidth="1"/>
    <col min="19" max="19" width="40" customWidth="1"/>
    <col min="20" max="20" width="24" customWidth="1"/>
    <col min="21" max="21" width="30.7109375" customWidth="1"/>
    <col min="22" max="22" width="14.7109375" customWidth="1"/>
    <col min="23" max="23" width="30.7109375" customWidth="1"/>
    <col min="24" max="24" width="60.7109375" customWidth="1"/>
  </cols>
  <sheetData>
    <row r="1" spans="1:24" ht="30"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963</v>
      </c>
      <c r="V1" s="1" t="s">
        <v>964</v>
      </c>
      <c r="W1" s="1" t="s">
        <v>965</v>
      </c>
      <c r="X1" s="1" t="s">
        <v>966</v>
      </c>
    </row>
    <row r="2" spans="1:24" ht="28.5" x14ac:dyDescent="0.25">
      <c r="A2" s="2" t="s">
        <v>20</v>
      </c>
      <c r="B2" s="2" t="s">
        <v>21</v>
      </c>
      <c r="C2" s="2" t="s">
        <v>22</v>
      </c>
      <c r="D2" s="3">
        <v>1</v>
      </c>
      <c r="E2" s="2" t="str">
        <f>B2&amp;" Mastery "&amp;INDEX(Tiers!$B$2:$B$6,MATCH(D2,Tiers!$A$2:$A$6,0))</f>
        <v>Fire Mastery 0</v>
      </c>
      <c r="F2" s="4" t="s">
        <v>23</v>
      </c>
      <c r="G2" s="2" t="s">
        <v>24</v>
      </c>
      <c r="H2" s="2" t="s">
        <v>25</v>
      </c>
      <c r="I2" s="2" t="s">
        <v>26</v>
      </c>
      <c r="J2" s="5" t="s">
        <v>27</v>
      </c>
      <c r="K2" s="2" t="s">
        <v>28</v>
      </c>
      <c r="L2" s="2" t="s">
        <v>29</v>
      </c>
      <c r="M2" s="4" t="s">
        <v>30</v>
      </c>
      <c r="N2" s="2" t="s">
        <v>31</v>
      </c>
      <c r="O2" s="6">
        <v>2</v>
      </c>
      <c r="P2" s="6">
        <v>5</v>
      </c>
      <c r="Q2" s="6">
        <v>0.2</v>
      </c>
      <c r="R2" s="6">
        <v>50</v>
      </c>
      <c r="S2" s="2" t="s">
        <v>32</v>
      </c>
      <c r="T2" s="2"/>
      <c r="U2" s="2" t="s">
        <v>967</v>
      </c>
      <c r="V2" s="2">
        <v>1</v>
      </c>
      <c r="W2" s="2" t="s">
        <v>968</v>
      </c>
      <c r="X2" s="2" t="s">
        <v>969</v>
      </c>
    </row>
    <row r="3" spans="1:24" ht="28.5" x14ac:dyDescent="0.25">
      <c r="A3" s="2" t="s">
        <v>33</v>
      </c>
      <c r="B3" s="2" t="s">
        <v>21</v>
      </c>
      <c r="C3" s="2" t="s">
        <v>22</v>
      </c>
      <c r="D3" s="3">
        <v>1</v>
      </c>
      <c r="E3" s="2" t="str">
        <f>B3&amp;" Mastery "&amp;INDEX(Tiers!$B$2:$B$6,MATCH(D3,Tiers!$A$2:$A$6,0))</f>
        <v>Fire Mastery 0</v>
      </c>
      <c r="F3" s="4" t="s">
        <v>34</v>
      </c>
      <c r="G3" s="2" t="s">
        <v>24</v>
      </c>
      <c r="H3" s="2" t="s">
        <v>25</v>
      </c>
      <c r="I3" s="2" t="s">
        <v>26</v>
      </c>
      <c r="J3" s="5" t="s">
        <v>35</v>
      </c>
      <c r="K3" s="2" t="s">
        <v>28</v>
      </c>
      <c r="L3" s="2" t="s">
        <v>36</v>
      </c>
      <c r="M3" s="4" t="s">
        <v>30</v>
      </c>
      <c r="N3" s="2" t="s">
        <v>37</v>
      </c>
      <c r="O3" s="6">
        <v>4</v>
      </c>
      <c r="P3" s="6">
        <v>5</v>
      </c>
      <c r="Q3" s="6">
        <v>0.2</v>
      </c>
      <c r="R3" s="6">
        <v>50</v>
      </c>
      <c r="S3" s="2" t="s">
        <v>32</v>
      </c>
      <c r="T3" s="2"/>
      <c r="U3" s="2" t="s">
        <v>970</v>
      </c>
      <c r="V3" s="2">
        <v>1.2</v>
      </c>
      <c r="W3" s="2" t="s">
        <v>971</v>
      </c>
      <c r="X3" s="2" t="s">
        <v>972</v>
      </c>
    </row>
    <row r="4" spans="1:24" ht="28.5" x14ac:dyDescent="0.25">
      <c r="A4" s="2" t="s">
        <v>38</v>
      </c>
      <c r="B4" s="2" t="s">
        <v>21</v>
      </c>
      <c r="C4" s="2" t="s">
        <v>39</v>
      </c>
      <c r="D4" s="3">
        <v>1</v>
      </c>
      <c r="E4" s="2" t="str">
        <f>B4&amp;" Mastery "&amp;INDEX(Tiers!$B$2:$B$6,MATCH(D4,Tiers!$A$2:$A$6,0))</f>
        <v>Fire Mastery 0</v>
      </c>
      <c r="F4" s="4" t="s">
        <v>40</v>
      </c>
      <c r="G4" s="2" t="s">
        <v>24</v>
      </c>
      <c r="H4" s="2" t="s">
        <v>25</v>
      </c>
      <c r="I4" s="2" t="s">
        <v>26</v>
      </c>
      <c r="J4" s="5" t="s">
        <v>41</v>
      </c>
      <c r="K4" s="2" t="s">
        <v>28</v>
      </c>
      <c r="L4" s="2" t="s">
        <v>42</v>
      </c>
      <c r="M4" s="4" t="s">
        <v>43</v>
      </c>
      <c r="N4" s="2" t="s">
        <v>44</v>
      </c>
      <c r="O4" s="6">
        <v>2</v>
      </c>
      <c r="P4" s="6">
        <v>5</v>
      </c>
      <c r="Q4" s="6">
        <v>0.2</v>
      </c>
      <c r="R4" s="6">
        <v>50</v>
      </c>
      <c r="S4" s="2" t="s">
        <v>32</v>
      </c>
      <c r="T4" s="2"/>
      <c r="U4" s="2" t="s">
        <v>970</v>
      </c>
      <c r="V4" s="2">
        <v>0.8</v>
      </c>
      <c r="W4" s="2" t="s">
        <v>973</v>
      </c>
      <c r="X4" s="2" t="s">
        <v>974</v>
      </c>
    </row>
    <row r="5" spans="1:24" ht="30" x14ac:dyDescent="0.25">
      <c r="A5" s="2" t="s">
        <v>45</v>
      </c>
      <c r="B5" s="2" t="s">
        <v>21</v>
      </c>
      <c r="C5" s="2" t="s">
        <v>39</v>
      </c>
      <c r="D5" s="3">
        <v>1</v>
      </c>
      <c r="E5" s="2" t="str">
        <f>B5&amp;" Mastery "&amp;INDEX(Tiers!$B$2:$B$6,MATCH(D5,Tiers!$A$2:$A$6,0))</f>
        <v>Fire Mastery 0</v>
      </c>
      <c r="F5" s="4" t="s">
        <v>46</v>
      </c>
      <c r="G5" s="2" t="s">
        <v>47</v>
      </c>
      <c r="H5" s="2" t="s">
        <v>25</v>
      </c>
      <c r="I5" s="2" t="s">
        <v>26</v>
      </c>
      <c r="J5" s="5" t="s">
        <v>48</v>
      </c>
      <c r="K5" s="2" t="s">
        <v>28</v>
      </c>
      <c r="L5" s="2" t="s">
        <v>49</v>
      </c>
      <c r="M5" s="4" t="s">
        <v>50</v>
      </c>
      <c r="N5" s="2" t="s">
        <v>51</v>
      </c>
      <c r="O5" s="6">
        <v>20</v>
      </c>
      <c r="P5" s="6">
        <v>5</v>
      </c>
      <c r="Q5" s="6">
        <v>0.4</v>
      </c>
      <c r="R5" s="6">
        <v>50</v>
      </c>
      <c r="S5" s="2" t="s">
        <v>52</v>
      </c>
      <c r="T5" s="2"/>
      <c r="U5" s="2" t="s">
        <v>970</v>
      </c>
      <c r="V5" s="2" t="s">
        <v>975</v>
      </c>
      <c r="W5" s="2"/>
      <c r="X5" s="2" t="s">
        <v>976</v>
      </c>
    </row>
    <row r="6" spans="1:24" ht="42.75" x14ac:dyDescent="0.25">
      <c r="A6" s="2" t="s">
        <v>53</v>
      </c>
      <c r="B6" s="2" t="s">
        <v>21</v>
      </c>
      <c r="C6" s="2" t="s">
        <v>22</v>
      </c>
      <c r="D6" s="3">
        <v>2</v>
      </c>
      <c r="E6" s="2" t="str">
        <f>B6&amp;" Mastery "&amp;INDEX(Tiers!$B$2:$B$6,MATCH(D6,Tiers!$A$2:$A$6,0))</f>
        <v>Fire Mastery 150</v>
      </c>
      <c r="F6" s="4" t="s">
        <v>54</v>
      </c>
      <c r="G6" s="2" t="s">
        <v>55</v>
      </c>
      <c r="H6" s="2" t="s">
        <v>34</v>
      </c>
      <c r="I6" s="2" t="s">
        <v>26</v>
      </c>
      <c r="J6" s="5" t="s">
        <v>56</v>
      </c>
      <c r="K6" s="2" t="s">
        <v>28</v>
      </c>
      <c r="L6" s="2" t="s">
        <v>57</v>
      </c>
      <c r="M6" s="4" t="s">
        <v>58</v>
      </c>
      <c r="N6" s="2" t="s">
        <v>59</v>
      </c>
      <c r="O6" s="6">
        <v>8</v>
      </c>
      <c r="P6" s="6">
        <v>10</v>
      </c>
      <c r="Q6" s="6">
        <v>0.3</v>
      </c>
      <c r="R6" s="6">
        <v>70</v>
      </c>
      <c r="S6" s="2" t="s">
        <v>60</v>
      </c>
      <c r="T6" s="2"/>
      <c r="U6" s="2" t="s">
        <v>970</v>
      </c>
      <c r="V6" s="2" t="s">
        <v>975</v>
      </c>
      <c r="W6" s="2"/>
      <c r="X6" s="2" t="s">
        <v>977</v>
      </c>
    </row>
    <row r="7" spans="1:24" ht="28.5" x14ac:dyDescent="0.25">
      <c r="A7" s="2" t="s">
        <v>61</v>
      </c>
      <c r="B7" s="2" t="s">
        <v>21</v>
      </c>
      <c r="C7" s="2" t="s">
        <v>22</v>
      </c>
      <c r="D7" s="3">
        <v>2</v>
      </c>
      <c r="E7" s="2" t="str">
        <f>B7&amp;" Mastery "&amp;INDEX(Tiers!$B$2:$B$6,MATCH(D7,Tiers!$A$2:$A$6,0))</f>
        <v>Fire Mastery 150</v>
      </c>
      <c r="F7" s="4" t="s">
        <v>62</v>
      </c>
      <c r="G7" s="2" t="s">
        <v>24</v>
      </c>
      <c r="H7" s="2" t="s">
        <v>23</v>
      </c>
      <c r="I7" s="2" t="s">
        <v>26</v>
      </c>
      <c r="J7" s="5" t="s">
        <v>63</v>
      </c>
      <c r="K7" s="2" t="s">
        <v>28</v>
      </c>
      <c r="L7" s="2" t="s">
        <v>64</v>
      </c>
      <c r="M7" s="4" t="s">
        <v>43</v>
      </c>
      <c r="N7" s="2" t="s">
        <v>65</v>
      </c>
      <c r="O7" s="6">
        <v>6</v>
      </c>
      <c r="P7" s="6">
        <v>10</v>
      </c>
      <c r="Q7" s="6">
        <v>0.3</v>
      </c>
      <c r="R7" s="6">
        <v>70</v>
      </c>
      <c r="S7" s="2" t="s">
        <v>60</v>
      </c>
      <c r="T7" s="2"/>
      <c r="U7" s="2" t="s">
        <v>970</v>
      </c>
      <c r="V7" s="2">
        <v>1.5</v>
      </c>
      <c r="W7" s="2" t="s">
        <v>978</v>
      </c>
      <c r="X7" s="2" t="s">
        <v>979</v>
      </c>
    </row>
    <row r="8" spans="1:24" ht="28.5" x14ac:dyDescent="0.25">
      <c r="A8" s="2" t="s">
        <v>66</v>
      </c>
      <c r="B8" s="2" t="s">
        <v>21</v>
      </c>
      <c r="C8" s="2" t="s">
        <v>39</v>
      </c>
      <c r="D8" s="3">
        <v>2</v>
      </c>
      <c r="E8" s="2" t="str">
        <f>B8&amp;" Mastery "&amp;INDEX(Tiers!$B$2:$B$6,MATCH(D8,Tiers!$A$2:$A$6,0))</f>
        <v>Fire Mastery 150</v>
      </c>
      <c r="F8" s="4" t="s">
        <v>67</v>
      </c>
      <c r="G8" s="2" t="s">
        <v>68</v>
      </c>
      <c r="H8" s="2" t="s">
        <v>40</v>
      </c>
      <c r="I8" s="2" t="s">
        <v>26</v>
      </c>
      <c r="J8" s="5" t="s">
        <v>69</v>
      </c>
      <c r="K8" s="2" t="s">
        <v>28</v>
      </c>
      <c r="L8" s="2" t="s">
        <v>70</v>
      </c>
      <c r="M8" s="4" t="s">
        <v>58</v>
      </c>
      <c r="N8" s="2" t="s">
        <v>71</v>
      </c>
      <c r="O8" s="6">
        <v>8</v>
      </c>
      <c r="P8" s="6">
        <v>10</v>
      </c>
      <c r="Q8" s="6">
        <v>0.3</v>
      </c>
      <c r="R8" s="6">
        <v>70</v>
      </c>
      <c r="S8" s="2" t="s">
        <v>60</v>
      </c>
      <c r="T8" s="2"/>
      <c r="U8" s="2" t="s">
        <v>970</v>
      </c>
      <c r="V8" s="2">
        <v>2</v>
      </c>
      <c r="W8" s="2" t="s">
        <v>980</v>
      </c>
      <c r="X8" s="2" t="s">
        <v>981</v>
      </c>
    </row>
    <row r="9" spans="1:24" ht="28.5" x14ac:dyDescent="0.25">
      <c r="A9" s="2" t="s">
        <v>72</v>
      </c>
      <c r="B9" s="2" t="s">
        <v>21</v>
      </c>
      <c r="C9" s="2" t="s">
        <v>39</v>
      </c>
      <c r="D9" s="3">
        <v>2</v>
      </c>
      <c r="E9" s="2" t="str">
        <f>B9&amp;" Mastery "&amp;INDEX(Tiers!$B$2:$B$6,MATCH(D9,Tiers!$A$2:$A$6,0))</f>
        <v>Fire Mastery 150</v>
      </c>
      <c r="F9" s="4" t="s">
        <v>73</v>
      </c>
      <c r="G9" s="2" t="s">
        <v>68</v>
      </c>
      <c r="H9" s="2" t="s">
        <v>40</v>
      </c>
      <c r="I9" s="2" t="s">
        <v>26</v>
      </c>
      <c r="J9" s="5" t="s">
        <v>74</v>
      </c>
      <c r="K9" s="2" t="s">
        <v>28</v>
      </c>
      <c r="L9" s="2" t="s">
        <v>75</v>
      </c>
      <c r="M9" s="4" t="s">
        <v>58</v>
      </c>
      <c r="N9" s="2" t="s">
        <v>76</v>
      </c>
      <c r="O9" s="6">
        <v>14</v>
      </c>
      <c r="P9" s="6">
        <v>10</v>
      </c>
      <c r="Q9" s="6">
        <v>0.6</v>
      </c>
      <c r="R9" s="6">
        <v>70</v>
      </c>
      <c r="S9" s="2" t="s">
        <v>77</v>
      </c>
      <c r="T9" s="2"/>
      <c r="U9" s="2" t="s">
        <v>970</v>
      </c>
      <c r="V9" s="2">
        <v>1.5</v>
      </c>
      <c r="W9" s="2" t="s">
        <v>982</v>
      </c>
      <c r="X9" s="2" t="s">
        <v>983</v>
      </c>
    </row>
    <row r="10" spans="1:24" ht="28.5" x14ac:dyDescent="0.25">
      <c r="A10" s="2" t="s">
        <v>78</v>
      </c>
      <c r="B10" s="2" t="s">
        <v>21</v>
      </c>
      <c r="C10" s="2" t="s">
        <v>22</v>
      </c>
      <c r="D10" s="3">
        <v>2</v>
      </c>
      <c r="E10" s="2" t="str">
        <f>B10&amp;" Mastery "&amp;INDEX(Tiers!$B$2:$B$6,MATCH(D10,Tiers!$A$2:$A$6,0))</f>
        <v>Fire Mastery 150</v>
      </c>
      <c r="F10" s="4" t="s">
        <v>79</v>
      </c>
      <c r="G10" s="2" t="s">
        <v>24</v>
      </c>
      <c r="H10" s="2" t="s">
        <v>80</v>
      </c>
      <c r="I10" s="2" t="s">
        <v>26</v>
      </c>
      <c r="J10" s="5" t="s">
        <v>81</v>
      </c>
      <c r="K10" s="2" t="s">
        <v>28</v>
      </c>
      <c r="L10" s="2" t="s">
        <v>82</v>
      </c>
      <c r="M10" s="4" t="s">
        <v>30</v>
      </c>
      <c r="N10" s="2" t="s">
        <v>83</v>
      </c>
      <c r="O10" s="6">
        <v>10</v>
      </c>
      <c r="P10" s="6">
        <v>10</v>
      </c>
      <c r="Q10" s="6">
        <v>0.6</v>
      </c>
      <c r="R10" s="6">
        <v>70</v>
      </c>
      <c r="S10" s="2" t="s">
        <v>77</v>
      </c>
      <c r="T10" s="2"/>
      <c r="U10" s="2" t="s">
        <v>970</v>
      </c>
      <c r="V10" s="2">
        <v>1.5</v>
      </c>
      <c r="W10" s="2" t="s">
        <v>982</v>
      </c>
      <c r="X10" s="2" t="s">
        <v>984</v>
      </c>
    </row>
    <row r="11" spans="1:24" ht="42.75" x14ac:dyDescent="0.25">
      <c r="A11" s="2" t="s">
        <v>84</v>
      </c>
      <c r="B11" s="2" t="s">
        <v>21</v>
      </c>
      <c r="C11" s="2" t="s">
        <v>22</v>
      </c>
      <c r="D11" s="3">
        <v>3</v>
      </c>
      <c r="E11" s="2" t="str">
        <f>B11&amp;" Mastery "&amp;INDEX(Tiers!$B$2:$B$6,MATCH(D11,Tiers!$A$2:$A$6,0))</f>
        <v>Fire Mastery 350</v>
      </c>
      <c r="F11" s="4" t="s">
        <v>85</v>
      </c>
      <c r="G11" s="2" t="s">
        <v>68</v>
      </c>
      <c r="H11" s="2" t="s">
        <v>54</v>
      </c>
      <c r="I11" s="2" t="s">
        <v>26</v>
      </c>
      <c r="J11" s="5" t="s">
        <v>86</v>
      </c>
      <c r="K11" s="2" t="s">
        <v>28</v>
      </c>
      <c r="L11" s="2" t="s">
        <v>87</v>
      </c>
      <c r="M11" s="4" t="s">
        <v>50</v>
      </c>
      <c r="N11" s="2" t="s">
        <v>88</v>
      </c>
      <c r="O11" s="6">
        <v>10</v>
      </c>
      <c r="P11" s="6">
        <v>15</v>
      </c>
      <c r="Q11" s="6">
        <v>0.8</v>
      </c>
      <c r="R11" s="6">
        <v>100</v>
      </c>
      <c r="S11" s="2" t="s">
        <v>89</v>
      </c>
      <c r="T11" s="2"/>
      <c r="U11" s="2" t="s">
        <v>985</v>
      </c>
      <c r="V11" s="2"/>
      <c r="W11" s="2"/>
      <c r="X11" s="2"/>
    </row>
    <row r="12" spans="1:24" ht="42.75" x14ac:dyDescent="0.25">
      <c r="A12" s="2" t="s">
        <v>90</v>
      </c>
      <c r="B12" s="2" t="s">
        <v>21</v>
      </c>
      <c r="C12" s="2" t="s">
        <v>22</v>
      </c>
      <c r="D12" s="3">
        <v>3</v>
      </c>
      <c r="E12" s="2" t="str">
        <f>B12&amp;" Mastery "&amp;INDEX(Tiers!$B$2:$B$6,MATCH(D12,Tiers!$A$2:$A$6,0))</f>
        <v>Fire Mastery 350</v>
      </c>
      <c r="F12" s="4" t="s">
        <v>91</v>
      </c>
      <c r="G12" s="2" t="s">
        <v>55</v>
      </c>
      <c r="H12" s="2" t="s">
        <v>54</v>
      </c>
      <c r="I12" s="2" t="s">
        <v>26</v>
      </c>
      <c r="J12" s="5" t="s">
        <v>92</v>
      </c>
      <c r="K12" s="2" t="s">
        <v>28</v>
      </c>
      <c r="L12" s="2" t="s">
        <v>93</v>
      </c>
      <c r="M12" s="4" t="s">
        <v>50</v>
      </c>
      <c r="N12" s="2" t="s">
        <v>94</v>
      </c>
      <c r="O12" s="6">
        <v>25</v>
      </c>
      <c r="P12" s="6">
        <v>15</v>
      </c>
      <c r="Q12" s="6">
        <v>0.8</v>
      </c>
      <c r="R12" s="6">
        <v>100</v>
      </c>
      <c r="S12" s="2" t="s">
        <v>89</v>
      </c>
      <c r="T12" s="2"/>
      <c r="U12" s="2" t="s">
        <v>985</v>
      </c>
      <c r="V12" s="2"/>
      <c r="W12" s="2"/>
      <c r="X12" s="2"/>
    </row>
    <row r="13" spans="1:24" ht="42.75" x14ac:dyDescent="0.25">
      <c r="A13" s="2" t="s">
        <v>95</v>
      </c>
      <c r="B13" s="2" t="s">
        <v>21</v>
      </c>
      <c r="C13" s="2" t="s">
        <v>39</v>
      </c>
      <c r="D13" s="3">
        <v>3</v>
      </c>
      <c r="E13" s="2" t="str">
        <f>B13&amp;" Mastery "&amp;INDEX(Tiers!$B$2:$B$6,MATCH(D13,Tiers!$A$2:$A$6,0))</f>
        <v>Fire Mastery 350</v>
      </c>
      <c r="F13" s="4" t="s">
        <v>96</v>
      </c>
      <c r="G13" s="2" t="s">
        <v>24</v>
      </c>
      <c r="H13" s="2" t="s">
        <v>67</v>
      </c>
      <c r="I13" s="2" t="s">
        <v>26</v>
      </c>
      <c r="J13" s="5" t="s">
        <v>97</v>
      </c>
      <c r="K13" s="2" t="s">
        <v>28</v>
      </c>
      <c r="L13" s="2" t="s">
        <v>98</v>
      </c>
      <c r="M13" s="4" t="s">
        <v>43</v>
      </c>
      <c r="N13" s="2" t="s">
        <v>99</v>
      </c>
      <c r="O13" s="6">
        <v>12</v>
      </c>
      <c r="P13" s="6">
        <v>15</v>
      </c>
      <c r="Q13" s="6">
        <v>0.8</v>
      </c>
      <c r="R13" s="6">
        <v>100</v>
      </c>
      <c r="S13" s="2" t="s">
        <v>89</v>
      </c>
      <c r="T13" s="2"/>
      <c r="U13" s="2" t="s">
        <v>985</v>
      </c>
      <c r="V13" s="2"/>
      <c r="W13" s="2"/>
      <c r="X13" s="2"/>
    </row>
    <row r="14" spans="1:24" ht="42.75" x14ac:dyDescent="0.25">
      <c r="A14" s="2" t="s">
        <v>100</v>
      </c>
      <c r="B14" s="2" t="s">
        <v>21</v>
      </c>
      <c r="C14" s="2" t="s">
        <v>39</v>
      </c>
      <c r="D14" s="3">
        <v>3</v>
      </c>
      <c r="E14" s="2" t="str">
        <f>B14&amp;" Mastery "&amp;INDEX(Tiers!$B$2:$B$6,MATCH(D14,Tiers!$A$2:$A$6,0))</f>
        <v>Fire Mastery 350</v>
      </c>
      <c r="F14" s="4" t="s">
        <v>101</v>
      </c>
      <c r="G14" s="2" t="s">
        <v>102</v>
      </c>
      <c r="H14" s="2" t="s">
        <v>73</v>
      </c>
      <c r="I14" s="2" t="s">
        <v>26</v>
      </c>
      <c r="J14" s="5" t="s">
        <v>103</v>
      </c>
      <c r="K14" s="2" t="s">
        <v>28</v>
      </c>
      <c r="L14" s="2" t="s">
        <v>104</v>
      </c>
      <c r="M14" s="4" t="s">
        <v>43</v>
      </c>
      <c r="N14" s="2" t="s">
        <v>105</v>
      </c>
      <c r="O14" s="6">
        <v>16</v>
      </c>
      <c r="P14" s="6">
        <v>15</v>
      </c>
      <c r="Q14" s="6">
        <v>0.8</v>
      </c>
      <c r="R14" s="6">
        <v>100</v>
      </c>
      <c r="S14" s="2" t="s">
        <v>89</v>
      </c>
      <c r="T14" s="2"/>
      <c r="U14" s="2" t="s">
        <v>985</v>
      </c>
      <c r="V14" s="2"/>
      <c r="W14" s="2"/>
      <c r="X14" s="2"/>
    </row>
    <row r="15" spans="1:24" ht="42.75" x14ac:dyDescent="0.25">
      <c r="A15" s="2" t="s">
        <v>106</v>
      </c>
      <c r="B15" s="2" t="s">
        <v>21</v>
      </c>
      <c r="C15" s="2" t="s">
        <v>39</v>
      </c>
      <c r="D15" s="3">
        <v>3</v>
      </c>
      <c r="E15" s="2" t="str">
        <f>B15&amp;" Mastery "&amp;INDEX(Tiers!$B$2:$B$6,MATCH(D15,Tiers!$A$2:$A$6,0))</f>
        <v>Fire Mastery 350</v>
      </c>
      <c r="F15" s="4" t="s">
        <v>107</v>
      </c>
      <c r="G15" s="2" t="s">
        <v>68</v>
      </c>
      <c r="H15" s="2" t="s">
        <v>108</v>
      </c>
      <c r="I15" s="2" t="s">
        <v>26</v>
      </c>
      <c r="J15" s="5" t="s">
        <v>109</v>
      </c>
      <c r="K15" s="2" t="s">
        <v>28</v>
      </c>
      <c r="L15" s="2" t="s">
        <v>110</v>
      </c>
      <c r="M15" s="4" t="s">
        <v>43</v>
      </c>
      <c r="N15" s="2" t="s">
        <v>111</v>
      </c>
      <c r="O15" s="6">
        <v>14</v>
      </c>
      <c r="P15" s="6">
        <v>15</v>
      </c>
      <c r="Q15" s="6">
        <v>0.8</v>
      </c>
      <c r="R15" s="6">
        <v>100</v>
      </c>
      <c r="S15" s="2" t="s">
        <v>89</v>
      </c>
      <c r="T15" s="2"/>
      <c r="U15" s="2" t="s">
        <v>985</v>
      </c>
      <c r="V15" s="2"/>
      <c r="W15" s="2"/>
      <c r="X15" s="2"/>
    </row>
    <row r="16" spans="1:24" ht="42.75" x14ac:dyDescent="0.25">
      <c r="A16" s="2" t="s">
        <v>112</v>
      </c>
      <c r="B16" s="2" t="s">
        <v>21</v>
      </c>
      <c r="C16" s="2" t="s">
        <v>22</v>
      </c>
      <c r="D16" s="3">
        <v>4</v>
      </c>
      <c r="E16" s="2" t="str">
        <f>B16&amp;" Mastery "&amp;INDEX(Tiers!$B$2:$B$6,MATCH(D16,Tiers!$A$2:$A$6,0))</f>
        <v>Fire Mastery 600</v>
      </c>
      <c r="F16" s="4" t="s">
        <v>113</v>
      </c>
      <c r="G16" s="2" t="s">
        <v>68</v>
      </c>
      <c r="H16" s="2" t="s">
        <v>85</v>
      </c>
      <c r="I16" s="2" t="s">
        <v>26</v>
      </c>
      <c r="J16" s="5" t="s">
        <v>114</v>
      </c>
      <c r="K16" s="2" t="s">
        <v>28</v>
      </c>
      <c r="L16" s="2" t="s">
        <v>115</v>
      </c>
      <c r="M16" s="4" t="s">
        <v>30</v>
      </c>
      <c r="N16" s="2" t="s">
        <v>116</v>
      </c>
      <c r="O16" s="6">
        <v>18</v>
      </c>
      <c r="P16" s="6">
        <v>25</v>
      </c>
      <c r="Q16" s="6">
        <v>1</v>
      </c>
      <c r="R16" s="6">
        <v>150</v>
      </c>
      <c r="S16" s="2" t="s">
        <v>117</v>
      </c>
      <c r="T16" s="2"/>
      <c r="U16" s="2" t="s">
        <v>985</v>
      </c>
      <c r="V16" s="2"/>
      <c r="W16" s="2"/>
      <c r="X16" s="2"/>
    </row>
    <row r="17" spans="1:24" ht="42.75" x14ac:dyDescent="0.25">
      <c r="A17" s="2" t="s">
        <v>118</v>
      </c>
      <c r="B17" s="2" t="s">
        <v>21</v>
      </c>
      <c r="C17" s="2" t="s">
        <v>39</v>
      </c>
      <c r="D17" s="3">
        <v>4</v>
      </c>
      <c r="E17" s="2" t="str">
        <f>B17&amp;" Mastery "&amp;INDEX(Tiers!$B$2:$B$6,MATCH(D17,Tiers!$A$2:$A$6,0))</f>
        <v>Fire Mastery 600</v>
      </c>
      <c r="F17" s="4" t="s">
        <v>119</v>
      </c>
      <c r="G17" s="2" t="s">
        <v>68</v>
      </c>
      <c r="H17" s="2" t="s">
        <v>120</v>
      </c>
      <c r="I17" s="2" t="s">
        <v>26</v>
      </c>
      <c r="J17" s="5" t="s">
        <v>121</v>
      </c>
      <c r="K17" s="2" t="s">
        <v>28</v>
      </c>
      <c r="L17" s="2" t="s">
        <v>122</v>
      </c>
      <c r="M17" s="4" t="s">
        <v>58</v>
      </c>
      <c r="N17" s="2" t="s">
        <v>123</v>
      </c>
      <c r="O17" s="6">
        <v>30</v>
      </c>
      <c r="P17" s="6">
        <v>25</v>
      </c>
      <c r="Q17" s="6">
        <v>2</v>
      </c>
      <c r="R17" s="6">
        <v>150</v>
      </c>
      <c r="S17" s="2" t="s">
        <v>124</v>
      </c>
      <c r="T17" s="2"/>
      <c r="U17" s="2" t="s">
        <v>985</v>
      </c>
      <c r="V17" s="2"/>
      <c r="W17" s="2"/>
      <c r="X17" s="2"/>
    </row>
    <row r="18" spans="1:24" ht="42.75" x14ac:dyDescent="0.25">
      <c r="A18" s="2" t="s">
        <v>125</v>
      </c>
      <c r="B18" s="2" t="s">
        <v>21</v>
      </c>
      <c r="C18" s="2" t="s">
        <v>126</v>
      </c>
      <c r="D18" s="3">
        <v>4</v>
      </c>
      <c r="E18" s="2" t="str">
        <f>B18&amp;" Mastery "&amp;INDEX(Tiers!$B$2:$B$6,MATCH(D18,Tiers!$A$2:$A$6,0))</f>
        <v>Fire Mastery 600</v>
      </c>
      <c r="F18" s="4" t="s">
        <v>127</v>
      </c>
      <c r="G18" s="2" t="s">
        <v>128</v>
      </c>
      <c r="H18" s="2" t="s">
        <v>129</v>
      </c>
      <c r="I18" s="2" t="s">
        <v>26</v>
      </c>
      <c r="J18" s="5" t="s">
        <v>130</v>
      </c>
      <c r="K18" s="2" t="s">
        <v>131</v>
      </c>
      <c r="L18" s="2" t="s">
        <v>132</v>
      </c>
      <c r="M18" s="4" t="s">
        <v>30</v>
      </c>
      <c r="N18" s="2" t="s">
        <v>133</v>
      </c>
      <c r="O18" s="6">
        <v>20</v>
      </c>
      <c r="P18" s="6">
        <v>25</v>
      </c>
      <c r="Q18" s="6">
        <v>1</v>
      </c>
      <c r="R18" s="6">
        <v>150</v>
      </c>
      <c r="S18" s="2" t="s">
        <v>117</v>
      </c>
      <c r="T18" s="2"/>
      <c r="U18" s="2" t="s">
        <v>985</v>
      </c>
      <c r="V18" s="2"/>
      <c r="W18" s="2"/>
      <c r="X18" s="2"/>
    </row>
    <row r="19" spans="1:24" ht="42.75" x14ac:dyDescent="0.25">
      <c r="A19" s="2" t="s">
        <v>134</v>
      </c>
      <c r="B19" s="2" t="s">
        <v>21</v>
      </c>
      <c r="C19" s="2" t="s">
        <v>126</v>
      </c>
      <c r="D19" s="3">
        <v>4</v>
      </c>
      <c r="E19" s="2" t="str">
        <f>B19&amp;" Mastery "&amp;INDEX(Tiers!$B$2:$B$6,MATCH(D19,Tiers!$A$2:$A$6,0))</f>
        <v>Fire Mastery 600</v>
      </c>
      <c r="F19" s="4" t="s">
        <v>135</v>
      </c>
      <c r="G19" s="2" t="s">
        <v>128</v>
      </c>
      <c r="H19" s="2" t="s">
        <v>67</v>
      </c>
      <c r="I19" s="2" t="s">
        <v>26</v>
      </c>
      <c r="J19" s="5" t="s">
        <v>136</v>
      </c>
      <c r="K19" s="2" t="s">
        <v>28</v>
      </c>
      <c r="L19" s="2" t="s">
        <v>137</v>
      </c>
      <c r="M19" s="4" t="s">
        <v>58</v>
      </c>
      <c r="N19" s="2" t="s">
        <v>138</v>
      </c>
      <c r="O19" s="6">
        <v>24</v>
      </c>
      <c r="P19" s="6">
        <v>25</v>
      </c>
      <c r="Q19" s="6">
        <v>1</v>
      </c>
      <c r="R19" s="6">
        <v>150</v>
      </c>
      <c r="S19" s="2" t="s">
        <v>117</v>
      </c>
      <c r="T19" s="2"/>
      <c r="U19" s="2" t="s">
        <v>985</v>
      </c>
      <c r="V19" s="2"/>
      <c r="W19" s="2"/>
      <c r="X19" s="2"/>
    </row>
    <row r="20" spans="1:24" ht="42.75" x14ac:dyDescent="0.25">
      <c r="A20" s="2" t="s">
        <v>139</v>
      </c>
      <c r="B20" s="2" t="s">
        <v>21</v>
      </c>
      <c r="C20" s="2" t="s">
        <v>126</v>
      </c>
      <c r="D20" s="3">
        <v>5</v>
      </c>
      <c r="E20" s="2" t="str">
        <f>B20&amp;" Mastery "&amp;INDEX(Tiers!$B$2:$B$6,MATCH(D20,Tiers!$A$2:$A$6,0))</f>
        <v>Fire Mastery 900</v>
      </c>
      <c r="F20" s="4" t="s">
        <v>140</v>
      </c>
      <c r="G20" s="2" t="s">
        <v>141</v>
      </c>
      <c r="H20" s="2" t="s">
        <v>127</v>
      </c>
      <c r="I20" s="2" t="s">
        <v>26</v>
      </c>
      <c r="J20" s="5" t="s">
        <v>142</v>
      </c>
      <c r="K20" s="2" t="s">
        <v>28</v>
      </c>
      <c r="L20" s="2" t="s">
        <v>143</v>
      </c>
      <c r="M20" s="4" t="s">
        <v>50</v>
      </c>
      <c r="N20" s="2" t="s">
        <v>144</v>
      </c>
      <c r="O20" s="6">
        <v>30</v>
      </c>
      <c r="P20" s="6">
        <v>50</v>
      </c>
      <c r="Q20" s="6">
        <v>4</v>
      </c>
      <c r="R20" s="6">
        <v>200</v>
      </c>
      <c r="S20" s="2" t="s">
        <v>145</v>
      </c>
      <c r="T20" s="2"/>
      <c r="U20" s="2" t="s">
        <v>985</v>
      </c>
      <c r="V20" s="2"/>
      <c r="W20" s="2"/>
      <c r="X20" s="2"/>
    </row>
    <row r="21" spans="1:24" ht="42.75" x14ac:dyDescent="0.25">
      <c r="A21" s="2" t="s">
        <v>146</v>
      </c>
      <c r="B21" s="2" t="s">
        <v>21</v>
      </c>
      <c r="C21" s="2" t="s">
        <v>126</v>
      </c>
      <c r="D21" s="3">
        <v>5</v>
      </c>
      <c r="E21" s="2" t="str">
        <f>B21&amp;" Mastery "&amp;INDEX(Tiers!$B$2:$B$6,MATCH(D21,Tiers!$A$2:$A$6,0))</f>
        <v>Fire Mastery 900</v>
      </c>
      <c r="F21" s="4" t="s">
        <v>147</v>
      </c>
      <c r="G21" s="2" t="s">
        <v>47</v>
      </c>
      <c r="H21" s="2" t="s">
        <v>119</v>
      </c>
      <c r="I21" s="2" t="s">
        <v>26</v>
      </c>
      <c r="J21" s="5" t="s">
        <v>148</v>
      </c>
      <c r="K21" s="2" t="s">
        <v>28</v>
      </c>
      <c r="L21" s="2" t="s">
        <v>149</v>
      </c>
      <c r="M21" s="4" t="s">
        <v>50</v>
      </c>
      <c r="N21" s="2" t="s">
        <v>51</v>
      </c>
      <c r="O21" s="6">
        <v>90</v>
      </c>
      <c r="P21" s="6">
        <v>50</v>
      </c>
      <c r="Q21" s="6">
        <v>10</v>
      </c>
      <c r="R21" s="6">
        <v>200</v>
      </c>
      <c r="S21" s="2" t="s">
        <v>150</v>
      </c>
      <c r="T21" s="2"/>
      <c r="U21" s="2" t="s">
        <v>985</v>
      </c>
      <c r="V21" s="2"/>
      <c r="W21" s="2"/>
      <c r="X21" s="2"/>
    </row>
    <row r="22" spans="1:24" ht="42.75" x14ac:dyDescent="0.25">
      <c r="A22" s="2" t="s">
        <v>151</v>
      </c>
      <c r="B22" s="2" t="s">
        <v>21</v>
      </c>
      <c r="C22" s="2" t="s">
        <v>22</v>
      </c>
      <c r="D22" s="3">
        <v>5</v>
      </c>
      <c r="E22" s="2" t="str">
        <f>B22&amp;" Mastery "&amp;INDEX(Tiers!$B$2:$B$6,MATCH(D22,Tiers!$A$2:$A$6,0))</f>
        <v>Fire Mastery 900</v>
      </c>
      <c r="F22" s="4" t="s">
        <v>152</v>
      </c>
      <c r="G22" s="2" t="s">
        <v>47</v>
      </c>
      <c r="H22" s="2" t="s">
        <v>153</v>
      </c>
      <c r="I22" s="2" t="s">
        <v>26</v>
      </c>
      <c r="J22" s="5" t="s">
        <v>154</v>
      </c>
      <c r="K22" s="2" t="s">
        <v>28</v>
      </c>
      <c r="L22" s="2" t="s">
        <v>155</v>
      </c>
      <c r="M22" s="4" t="s">
        <v>50</v>
      </c>
      <c r="N22" s="2" t="s">
        <v>51</v>
      </c>
      <c r="O22" s="6">
        <v>120</v>
      </c>
      <c r="P22" s="6">
        <v>50</v>
      </c>
      <c r="Q22" s="6">
        <v>10</v>
      </c>
      <c r="R22" s="6">
        <v>200</v>
      </c>
      <c r="S22" s="2" t="s">
        <v>150</v>
      </c>
      <c r="T22" s="2"/>
      <c r="U22" s="2" t="s">
        <v>985</v>
      </c>
      <c r="V22" s="2"/>
      <c r="W22" s="2"/>
      <c r="X22" s="2"/>
    </row>
    <row r="23" spans="1:24" ht="42.75" x14ac:dyDescent="0.25">
      <c r="A23" s="7" t="s">
        <v>156</v>
      </c>
      <c r="B23" s="7" t="s">
        <v>157</v>
      </c>
      <c r="C23" s="7" t="s">
        <v>158</v>
      </c>
      <c r="D23" s="8">
        <v>1</v>
      </c>
      <c r="E23" s="7" t="str">
        <f>B23&amp;" Mastery "&amp;INDEX(Tiers!$B$2:$B$6,MATCH(D23,Tiers!$A$2:$A$6,0))</f>
        <v>Earth Mastery 0</v>
      </c>
      <c r="F23" s="9" t="s">
        <v>159</v>
      </c>
      <c r="G23" s="7" t="s">
        <v>24</v>
      </c>
      <c r="H23" s="7" t="s">
        <v>25</v>
      </c>
      <c r="I23" s="7" t="s">
        <v>26</v>
      </c>
      <c r="J23" s="10" t="s">
        <v>160</v>
      </c>
      <c r="K23" s="7" t="s">
        <v>161</v>
      </c>
      <c r="L23" s="7" t="s">
        <v>162</v>
      </c>
      <c r="M23" s="9" t="s">
        <v>43</v>
      </c>
      <c r="N23" s="7" t="s">
        <v>163</v>
      </c>
      <c r="O23" s="11">
        <v>3</v>
      </c>
      <c r="P23" s="11">
        <v>5</v>
      </c>
      <c r="Q23" s="11">
        <v>0.2</v>
      </c>
      <c r="R23" s="11">
        <v>50</v>
      </c>
      <c r="S23" s="7" t="s">
        <v>164</v>
      </c>
      <c r="T23" s="7"/>
      <c r="U23" s="7" t="s">
        <v>970</v>
      </c>
      <c r="V23" s="7">
        <v>1.6</v>
      </c>
      <c r="W23" s="7" t="s">
        <v>986</v>
      </c>
      <c r="X23" s="7" t="s">
        <v>987</v>
      </c>
    </row>
    <row r="24" spans="1:24" ht="28.5" x14ac:dyDescent="0.25">
      <c r="A24" s="7" t="s">
        <v>165</v>
      </c>
      <c r="B24" s="7" t="s">
        <v>157</v>
      </c>
      <c r="C24" s="7" t="s">
        <v>158</v>
      </c>
      <c r="D24" s="8">
        <v>1</v>
      </c>
      <c r="E24" s="7" t="str">
        <f>B24&amp;" Mastery "&amp;INDEX(Tiers!$B$2:$B$6,MATCH(D24,Tiers!$A$2:$A$6,0))</f>
        <v>Earth Mastery 0</v>
      </c>
      <c r="F24" s="9" t="s">
        <v>166</v>
      </c>
      <c r="G24" s="7" t="s">
        <v>47</v>
      </c>
      <c r="H24" s="7" t="s">
        <v>25</v>
      </c>
      <c r="I24" s="7" t="s">
        <v>26</v>
      </c>
      <c r="J24" s="10" t="s">
        <v>167</v>
      </c>
      <c r="K24" s="7" t="s">
        <v>168</v>
      </c>
      <c r="L24" s="7" t="s">
        <v>169</v>
      </c>
      <c r="M24" s="9" t="s">
        <v>50</v>
      </c>
      <c r="N24" s="7" t="s">
        <v>51</v>
      </c>
      <c r="O24" s="11">
        <v>20</v>
      </c>
      <c r="P24" s="11">
        <v>5</v>
      </c>
      <c r="Q24" s="11">
        <v>0.4</v>
      </c>
      <c r="R24" s="11">
        <v>50</v>
      </c>
      <c r="S24" s="7" t="s">
        <v>170</v>
      </c>
      <c r="T24" s="7"/>
      <c r="U24" s="7" t="s">
        <v>985</v>
      </c>
      <c r="V24" s="7"/>
      <c r="W24" s="7"/>
      <c r="X24" s="7"/>
    </row>
    <row r="25" spans="1:24" ht="28.5" x14ac:dyDescent="0.25">
      <c r="A25" s="7" t="s">
        <v>171</v>
      </c>
      <c r="B25" s="7" t="s">
        <v>157</v>
      </c>
      <c r="C25" s="7" t="s">
        <v>172</v>
      </c>
      <c r="D25" s="8">
        <v>1</v>
      </c>
      <c r="E25" s="7" t="str">
        <f>B25&amp;" Mastery "&amp;INDEX(Tiers!$B$2:$B$6,MATCH(D25,Tiers!$A$2:$A$6,0))</f>
        <v>Earth Mastery 0</v>
      </c>
      <c r="F25" s="9" t="s">
        <v>173</v>
      </c>
      <c r="G25" s="7" t="s">
        <v>174</v>
      </c>
      <c r="H25" s="7" t="s">
        <v>25</v>
      </c>
      <c r="I25" s="7" t="s">
        <v>26</v>
      </c>
      <c r="J25" s="10" t="s">
        <v>175</v>
      </c>
      <c r="K25" s="7" t="s">
        <v>176</v>
      </c>
      <c r="L25" s="7" t="s">
        <v>177</v>
      </c>
      <c r="M25" s="9" t="s">
        <v>58</v>
      </c>
      <c r="N25" s="7" t="s">
        <v>178</v>
      </c>
      <c r="O25" s="11">
        <v>6</v>
      </c>
      <c r="P25" s="11">
        <v>5</v>
      </c>
      <c r="Q25" s="11">
        <v>0.2</v>
      </c>
      <c r="R25" s="11">
        <v>50</v>
      </c>
      <c r="S25" s="7" t="s">
        <v>164</v>
      </c>
      <c r="T25" s="7"/>
      <c r="U25" s="7" t="s">
        <v>970</v>
      </c>
      <c r="V25" s="7" t="s">
        <v>975</v>
      </c>
      <c r="W25" s="7"/>
      <c r="X25" s="7" t="s">
        <v>988</v>
      </c>
    </row>
    <row r="26" spans="1:24" ht="28.5" x14ac:dyDescent="0.25">
      <c r="A26" s="7" t="s">
        <v>179</v>
      </c>
      <c r="B26" s="7" t="s">
        <v>157</v>
      </c>
      <c r="C26" s="7" t="s">
        <v>158</v>
      </c>
      <c r="D26" s="8">
        <v>1</v>
      </c>
      <c r="E26" s="7" t="str">
        <f>B26&amp;" Mastery "&amp;INDEX(Tiers!$B$2:$B$6,MATCH(D26,Tiers!$A$2:$A$6,0))</f>
        <v>Earth Mastery 0</v>
      </c>
      <c r="F26" s="9" t="s">
        <v>180</v>
      </c>
      <c r="G26" s="7" t="s">
        <v>181</v>
      </c>
      <c r="H26" s="7" t="s">
        <v>25</v>
      </c>
      <c r="I26" s="7" t="s">
        <v>26</v>
      </c>
      <c r="J26" s="10" t="s">
        <v>182</v>
      </c>
      <c r="K26" s="7" t="s">
        <v>168</v>
      </c>
      <c r="L26" s="7" t="s">
        <v>183</v>
      </c>
      <c r="M26" s="9" t="s">
        <v>50</v>
      </c>
      <c r="N26" s="7" t="s">
        <v>184</v>
      </c>
      <c r="O26" s="11">
        <v>10</v>
      </c>
      <c r="P26" s="11">
        <v>5</v>
      </c>
      <c r="Q26" s="11">
        <v>0.4</v>
      </c>
      <c r="R26" s="11">
        <v>50</v>
      </c>
      <c r="S26" s="7" t="s">
        <v>170</v>
      </c>
      <c r="T26" s="7"/>
      <c r="U26" s="7" t="s">
        <v>970</v>
      </c>
      <c r="V26" s="7" t="s">
        <v>975</v>
      </c>
      <c r="W26" s="7"/>
      <c r="X26" s="7" t="s">
        <v>989</v>
      </c>
    </row>
    <row r="27" spans="1:24" ht="42.75" x14ac:dyDescent="0.25">
      <c r="A27" s="7" t="s">
        <v>185</v>
      </c>
      <c r="B27" s="7" t="s">
        <v>157</v>
      </c>
      <c r="C27" s="7" t="s">
        <v>172</v>
      </c>
      <c r="D27" s="8">
        <v>2</v>
      </c>
      <c r="E27" s="7" t="str">
        <f>B27&amp;" Mastery "&amp;INDEX(Tiers!$B$2:$B$6,MATCH(D27,Tiers!$A$2:$A$6,0))</f>
        <v>Earth Mastery 150</v>
      </c>
      <c r="F27" s="9" t="s">
        <v>186</v>
      </c>
      <c r="G27" s="7" t="s">
        <v>174</v>
      </c>
      <c r="H27" s="7" t="s">
        <v>173</v>
      </c>
      <c r="I27" s="7" t="s">
        <v>26</v>
      </c>
      <c r="J27" s="10" t="s">
        <v>187</v>
      </c>
      <c r="K27" s="7" t="s">
        <v>176</v>
      </c>
      <c r="L27" s="7" t="s">
        <v>188</v>
      </c>
      <c r="M27" s="9" t="s">
        <v>58</v>
      </c>
      <c r="N27" s="7" t="s">
        <v>189</v>
      </c>
      <c r="O27" s="11">
        <v>15</v>
      </c>
      <c r="P27" s="11">
        <v>10</v>
      </c>
      <c r="Q27" s="11">
        <v>0.6</v>
      </c>
      <c r="R27" s="11">
        <v>70</v>
      </c>
      <c r="S27" s="7" t="s">
        <v>190</v>
      </c>
      <c r="T27" s="7"/>
      <c r="U27" s="7" t="s">
        <v>970</v>
      </c>
      <c r="V27" s="7" t="s">
        <v>975</v>
      </c>
      <c r="W27" s="7"/>
      <c r="X27" s="7" t="s">
        <v>990</v>
      </c>
    </row>
    <row r="28" spans="1:24" ht="42.75" x14ac:dyDescent="0.25">
      <c r="A28" s="7" t="s">
        <v>191</v>
      </c>
      <c r="B28" s="7" t="s">
        <v>157</v>
      </c>
      <c r="C28" s="7" t="s">
        <v>172</v>
      </c>
      <c r="D28" s="8">
        <v>2</v>
      </c>
      <c r="E28" s="7" t="str">
        <f>B28&amp;" Mastery "&amp;INDEX(Tiers!$B$2:$B$6,MATCH(D28,Tiers!$A$2:$A$6,0))</f>
        <v>Earth Mastery 150</v>
      </c>
      <c r="F28" s="9" t="s">
        <v>192</v>
      </c>
      <c r="G28" s="7" t="s">
        <v>193</v>
      </c>
      <c r="H28" s="7" t="s">
        <v>173</v>
      </c>
      <c r="I28" s="7" t="s">
        <v>26</v>
      </c>
      <c r="J28" s="10" t="s">
        <v>194</v>
      </c>
      <c r="K28" s="7" t="s">
        <v>176</v>
      </c>
      <c r="L28" s="7" t="s">
        <v>195</v>
      </c>
      <c r="M28" s="9" t="s">
        <v>58</v>
      </c>
      <c r="N28" s="7" t="s">
        <v>196</v>
      </c>
      <c r="O28" s="11">
        <v>10</v>
      </c>
      <c r="P28" s="11">
        <v>10</v>
      </c>
      <c r="Q28" s="11">
        <v>0.6</v>
      </c>
      <c r="R28" s="11">
        <v>70</v>
      </c>
      <c r="S28" s="7" t="s">
        <v>190</v>
      </c>
      <c r="T28" s="7"/>
      <c r="U28" s="7" t="s">
        <v>985</v>
      </c>
      <c r="V28" s="7"/>
      <c r="W28" s="7"/>
      <c r="X28" s="7"/>
    </row>
    <row r="29" spans="1:24" ht="42.75" x14ac:dyDescent="0.25">
      <c r="A29" s="7" t="s">
        <v>197</v>
      </c>
      <c r="B29" s="7" t="s">
        <v>157</v>
      </c>
      <c r="C29" s="7" t="s">
        <v>158</v>
      </c>
      <c r="D29" s="8">
        <v>2</v>
      </c>
      <c r="E29" s="7" t="str">
        <f>B29&amp;" Mastery "&amp;INDEX(Tiers!$B$2:$B$6,MATCH(D29,Tiers!$A$2:$A$6,0))</f>
        <v>Earth Mastery 150</v>
      </c>
      <c r="F29" s="9" t="s">
        <v>198</v>
      </c>
      <c r="G29" s="7" t="s">
        <v>199</v>
      </c>
      <c r="H29" s="7" t="s">
        <v>166</v>
      </c>
      <c r="I29" s="7" t="s">
        <v>26</v>
      </c>
      <c r="J29" s="10" t="s">
        <v>200</v>
      </c>
      <c r="K29" s="7" t="s">
        <v>168</v>
      </c>
      <c r="L29" s="7" t="s">
        <v>201</v>
      </c>
      <c r="M29" s="9" t="s">
        <v>50</v>
      </c>
      <c r="N29" s="7" t="s">
        <v>51</v>
      </c>
      <c r="O29" s="11">
        <v>18</v>
      </c>
      <c r="P29" s="11">
        <v>10</v>
      </c>
      <c r="Q29" s="11">
        <v>0.6</v>
      </c>
      <c r="R29" s="11">
        <v>70</v>
      </c>
      <c r="S29" s="7" t="s">
        <v>190</v>
      </c>
      <c r="T29" s="7"/>
      <c r="U29" s="7" t="s">
        <v>985</v>
      </c>
      <c r="V29" s="7"/>
      <c r="W29" s="7"/>
      <c r="X29" s="7"/>
    </row>
    <row r="30" spans="1:24" ht="42.75" x14ac:dyDescent="0.25">
      <c r="A30" s="7" t="s">
        <v>202</v>
      </c>
      <c r="B30" s="7" t="s">
        <v>157</v>
      </c>
      <c r="C30" s="7" t="s">
        <v>158</v>
      </c>
      <c r="D30" s="8">
        <v>2</v>
      </c>
      <c r="E30" s="7" t="str">
        <f>B30&amp;" Mastery "&amp;INDEX(Tiers!$B$2:$B$6,MATCH(D30,Tiers!$A$2:$A$6,0))</f>
        <v>Earth Mastery 150</v>
      </c>
      <c r="F30" s="9" t="s">
        <v>203</v>
      </c>
      <c r="G30" s="7" t="s">
        <v>181</v>
      </c>
      <c r="H30" s="7" t="s">
        <v>180</v>
      </c>
      <c r="I30" s="7" t="s">
        <v>26</v>
      </c>
      <c r="J30" s="10" t="s">
        <v>204</v>
      </c>
      <c r="K30" s="7" t="s">
        <v>168</v>
      </c>
      <c r="L30" s="7" t="s">
        <v>205</v>
      </c>
      <c r="M30" s="9" t="s">
        <v>50</v>
      </c>
      <c r="N30" s="7" t="s">
        <v>206</v>
      </c>
      <c r="O30" s="11">
        <v>15</v>
      </c>
      <c r="P30" s="11">
        <v>10</v>
      </c>
      <c r="Q30" s="11">
        <v>0.6</v>
      </c>
      <c r="R30" s="11">
        <v>70</v>
      </c>
      <c r="S30" s="7" t="s">
        <v>190</v>
      </c>
      <c r="T30" s="7"/>
      <c r="U30" s="7" t="s">
        <v>985</v>
      </c>
      <c r="V30" s="7"/>
      <c r="W30" s="7"/>
      <c r="X30" s="7"/>
    </row>
    <row r="31" spans="1:24" ht="42.75" x14ac:dyDescent="0.25">
      <c r="A31" s="7" t="s">
        <v>207</v>
      </c>
      <c r="B31" s="7" t="s">
        <v>157</v>
      </c>
      <c r="C31" s="7" t="s">
        <v>172</v>
      </c>
      <c r="D31" s="8">
        <v>2</v>
      </c>
      <c r="E31" s="7" t="str">
        <f>B31&amp;" Mastery "&amp;INDEX(Tiers!$B$2:$B$6,MATCH(D31,Tiers!$A$2:$A$6,0))</f>
        <v>Earth Mastery 150</v>
      </c>
      <c r="F31" s="9" t="s">
        <v>208</v>
      </c>
      <c r="G31" s="7" t="s">
        <v>174</v>
      </c>
      <c r="H31" s="7" t="s">
        <v>173</v>
      </c>
      <c r="I31" s="7" t="s">
        <v>26</v>
      </c>
      <c r="J31" s="10" t="s">
        <v>209</v>
      </c>
      <c r="K31" s="7" t="s">
        <v>176</v>
      </c>
      <c r="L31" s="7" t="s">
        <v>210</v>
      </c>
      <c r="M31" s="9" t="s">
        <v>58</v>
      </c>
      <c r="N31" s="7" t="s">
        <v>211</v>
      </c>
      <c r="O31" s="11">
        <v>12</v>
      </c>
      <c r="P31" s="11">
        <v>10</v>
      </c>
      <c r="Q31" s="11">
        <v>0.6</v>
      </c>
      <c r="R31" s="11">
        <v>70</v>
      </c>
      <c r="S31" s="7" t="s">
        <v>190</v>
      </c>
      <c r="T31" s="7"/>
      <c r="U31" s="7" t="s">
        <v>985</v>
      </c>
      <c r="V31" s="7"/>
      <c r="W31" s="7"/>
      <c r="X31" s="7"/>
    </row>
    <row r="32" spans="1:24" ht="42.75" x14ac:dyDescent="0.25">
      <c r="A32" s="7" t="s">
        <v>212</v>
      </c>
      <c r="B32" s="7" t="s">
        <v>157</v>
      </c>
      <c r="C32" s="7" t="s">
        <v>158</v>
      </c>
      <c r="D32" s="8">
        <v>3</v>
      </c>
      <c r="E32" s="7" t="str">
        <f>B32&amp;" Mastery "&amp;INDEX(Tiers!$B$2:$B$6,MATCH(D32,Tiers!$A$2:$A$6,0))</f>
        <v>Earth Mastery 350</v>
      </c>
      <c r="F32" s="9" t="s">
        <v>213</v>
      </c>
      <c r="G32" s="7" t="s">
        <v>214</v>
      </c>
      <c r="H32" s="7" t="s">
        <v>215</v>
      </c>
      <c r="I32" s="7" t="s">
        <v>26</v>
      </c>
      <c r="J32" s="10" t="s">
        <v>216</v>
      </c>
      <c r="K32" s="7" t="s">
        <v>168</v>
      </c>
      <c r="L32" s="7" t="s">
        <v>217</v>
      </c>
      <c r="M32" s="9" t="s">
        <v>50</v>
      </c>
      <c r="N32" s="7" t="s">
        <v>51</v>
      </c>
      <c r="O32" s="11">
        <v>30</v>
      </c>
      <c r="P32" s="11">
        <v>15</v>
      </c>
      <c r="Q32" s="11">
        <v>1.6</v>
      </c>
      <c r="R32" s="11">
        <v>100</v>
      </c>
      <c r="S32" s="7" t="s">
        <v>218</v>
      </c>
      <c r="T32" s="7"/>
      <c r="U32" s="7" t="s">
        <v>985</v>
      </c>
      <c r="V32" s="7"/>
      <c r="W32" s="7"/>
      <c r="X32" s="7"/>
    </row>
    <row r="33" spans="1:24" ht="42.75" x14ac:dyDescent="0.25">
      <c r="A33" s="7" t="s">
        <v>219</v>
      </c>
      <c r="B33" s="7" t="s">
        <v>157</v>
      </c>
      <c r="C33" s="7" t="s">
        <v>172</v>
      </c>
      <c r="D33" s="8">
        <v>3</v>
      </c>
      <c r="E33" s="7" t="str">
        <f>B33&amp;" Mastery "&amp;INDEX(Tiers!$B$2:$B$6,MATCH(D33,Tiers!$A$2:$A$6,0))</f>
        <v>Earth Mastery 350</v>
      </c>
      <c r="F33" s="9" t="s">
        <v>220</v>
      </c>
      <c r="G33" s="7" t="s">
        <v>221</v>
      </c>
      <c r="H33" s="7" t="s">
        <v>192</v>
      </c>
      <c r="I33" s="7" t="s">
        <v>26</v>
      </c>
      <c r="J33" s="10" t="s">
        <v>222</v>
      </c>
      <c r="K33" s="7" t="s">
        <v>161</v>
      </c>
      <c r="L33" s="7" t="s">
        <v>223</v>
      </c>
      <c r="M33" s="9" t="s">
        <v>58</v>
      </c>
      <c r="N33" s="7" t="s">
        <v>224</v>
      </c>
      <c r="O33" s="11">
        <v>20</v>
      </c>
      <c r="P33" s="11">
        <v>15</v>
      </c>
      <c r="Q33" s="11">
        <v>0.8</v>
      </c>
      <c r="R33" s="11">
        <v>100</v>
      </c>
      <c r="S33" s="7" t="s">
        <v>225</v>
      </c>
      <c r="T33" s="7"/>
      <c r="U33" s="7" t="s">
        <v>985</v>
      </c>
      <c r="V33" s="7"/>
      <c r="W33" s="7"/>
      <c r="X33" s="7"/>
    </row>
    <row r="34" spans="1:24" ht="42.75" x14ac:dyDescent="0.25">
      <c r="A34" s="7" t="s">
        <v>226</v>
      </c>
      <c r="B34" s="7" t="s">
        <v>157</v>
      </c>
      <c r="C34" s="7" t="s">
        <v>172</v>
      </c>
      <c r="D34" s="8">
        <v>3</v>
      </c>
      <c r="E34" s="7" t="str">
        <f>B34&amp;" Mastery "&amp;INDEX(Tiers!$B$2:$B$6,MATCH(D34,Tiers!$A$2:$A$6,0))</f>
        <v>Earth Mastery 350</v>
      </c>
      <c r="F34" s="9" t="s">
        <v>227</v>
      </c>
      <c r="G34" s="7" t="s">
        <v>174</v>
      </c>
      <c r="H34" s="7" t="s">
        <v>192</v>
      </c>
      <c r="I34" s="7" t="s">
        <v>26</v>
      </c>
      <c r="J34" s="10" t="s">
        <v>228</v>
      </c>
      <c r="K34" s="7" t="s">
        <v>176</v>
      </c>
      <c r="L34" s="7" t="s">
        <v>229</v>
      </c>
      <c r="M34" s="9" t="s">
        <v>58</v>
      </c>
      <c r="N34" s="7" t="s">
        <v>230</v>
      </c>
      <c r="O34" s="11">
        <v>18</v>
      </c>
      <c r="P34" s="11">
        <v>15</v>
      </c>
      <c r="Q34" s="11">
        <v>0.8</v>
      </c>
      <c r="R34" s="11">
        <v>100</v>
      </c>
      <c r="S34" s="7" t="s">
        <v>225</v>
      </c>
      <c r="T34" s="7"/>
      <c r="U34" s="7" t="s">
        <v>985</v>
      </c>
      <c r="V34" s="7"/>
      <c r="W34" s="7"/>
      <c r="X34" s="7"/>
    </row>
    <row r="35" spans="1:24" ht="42.75" x14ac:dyDescent="0.25">
      <c r="A35" s="7" t="s">
        <v>231</v>
      </c>
      <c r="B35" s="7" t="s">
        <v>157</v>
      </c>
      <c r="C35" s="7" t="s">
        <v>158</v>
      </c>
      <c r="D35" s="8">
        <v>3</v>
      </c>
      <c r="E35" s="7" t="str">
        <f>B35&amp;" Mastery "&amp;INDEX(Tiers!$B$2:$B$6,MATCH(D35,Tiers!$A$2:$A$6,0))</f>
        <v>Earth Mastery 350</v>
      </c>
      <c r="F35" s="9" t="s">
        <v>232</v>
      </c>
      <c r="G35" s="7" t="s">
        <v>233</v>
      </c>
      <c r="H35" s="7" t="s">
        <v>180</v>
      </c>
      <c r="I35" s="7" t="s">
        <v>26</v>
      </c>
      <c r="J35" s="10" t="s">
        <v>234</v>
      </c>
      <c r="K35" s="7" t="s">
        <v>176</v>
      </c>
      <c r="L35" s="7" t="s">
        <v>235</v>
      </c>
      <c r="M35" s="9" t="s">
        <v>50</v>
      </c>
      <c r="N35" s="7" t="s">
        <v>236</v>
      </c>
      <c r="O35" s="11">
        <v>30</v>
      </c>
      <c r="P35" s="11">
        <v>15</v>
      </c>
      <c r="Q35" s="11">
        <v>1.6</v>
      </c>
      <c r="R35" s="11">
        <v>100</v>
      </c>
      <c r="S35" s="7" t="s">
        <v>218</v>
      </c>
      <c r="T35" s="7"/>
      <c r="U35" s="7" t="s">
        <v>985</v>
      </c>
      <c r="V35" s="7"/>
      <c r="W35" s="7"/>
      <c r="X35" s="7"/>
    </row>
    <row r="36" spans="1:24" ht="42.75" x14ac:dyDescent="0.25">
      <c r="A36" s="7" t="s">
        <v>237</v>
      </c>
      <c r="B36" s="7" t="s">
        <v>157</v>
      </c>
      <c r="C36" s="7" t="s">
        <v>158</v>
      </c>
      <c r="D36" s="8">
        <v>3</v>
      </c>
      <c r="E36" s="7" t="str">
        <f>B36&amp;" Mastery "&amp;INDEX(Tiers!$B$2:$B$6,MATCH(D36,Tiers!$A$2:$A$6,0))</f>
        <v>Earth Mastery 350</v>
      </c>
      <c r="F36" s="9" t="s">
        <v>238</v>
      </c>
      <c r="G36" s="7" t="s">
        <v>47</v>
      </c>
      <c r="H36" s="7" t="s">
        <v>198</v>
      </c>
      <c r="I36" s="7" t="s">
        <v>26</v>
      </c>
      <c r="J36" s="10" t="s">
        <v>239</v>
      </c>
      <c r="K36" s="7" t="s">
        <v>168</v>
      </c>
      <c r="L36" s="7" t="s">
        <v>240</v>
      </c>
      <c r="M36" s="9" t="s">
        <v>50</v>
      </c>
      <c r="N36" s="7" t="s">
        <v>51</v>
      </c>
      <c r="O36" s="11">
        <v>40</v>
      </c>
      <c r="P36" s="11">
        <v>15</v>
      </c>
      <c r="Q36" s="11">
        <v>1.6</v>
      </c>
      <c r="R36" s="11">
        <v>100</v>
      </c>
      <c r="S36" s="7" t="s">
        <v>218</v>
      </c>
      <c r="T36" s="7"/>
      <c r="U36" s="7" t="s">
        <v>985</v>
      </c>
      <c r="V36" s="7"/>
      <c r="W36" s="7"/>
      <c r="X36" s="7"/>
    </row>
    <row r="37" spans="1:24" ht="42.75" x14ac:dyDescent="0.25">
      <c r="A37" s="7" t="s">
        <v>241</v>
      </c>
      <c r="B37" s="7" t="s">
        <v>157</v>
      </c>
      <c r="C37" s="7" t="s">
        <v>242</v>
      </c>
      <c r="D37" s="8">
        <v>4</v>
      </c>
      <c r="E37" s="7" t="str">
        <f>B37&amp;" Mastery "&amp;INDEX(Tiers!$B$2:$B$6,MATCH(D37,Tiers!$A$2:$A$6,0))</f>
        <v>Earth Mastery 600</v>
      </c>
      <c r="F37" s="9" t="s">
        <v>243</v>
      </c>
      <c r="G37" s="7" t="s">
        <v>244</v>
      </c>
      <c r="H37" s="7" t="s">
        <v>238</v>
      </c>
      <c r="I37" s="7" t="s">
        <v>26</v>
      </c>
      <c r="J37" s="10" t="s">
        <v>245</v>
      </c>
      <c r="K37" s="7" t="s">
        <v>161</v>
      </c>
      <c r="L37" s="7" t="s">
        <v>246</v>
      </c>
      <c r="M37" s="9" t="s">
        <v>30</v>
      </c>
      <c r="N37" s="7" t="s">
        <v>247</v>
      </c>
      <c r="O37" s="11">
        <v>20</v>
      </c>
      <c r="P37" s="11">
        <v>25</v>
      </c>
      <c r="Q37" s="11">
        <v>1</v>
      </c>
      <c r="R37" s="11">
        <v>150</v>
      </c>
      <c r="S37" s="7" t="s">
        <v>248</v>
      </c>
      <c r="T37" s="7"/>
      <c r="U37" s="7" t="s">
        <v>985</v>
      </c>
      <c r="V37" s="7"/>
      <c r="W37" s="7"/>
      <c r="X37" s="7"/>
    </row>
    <row r="38" spans="1:24" ht="42.75" x14ac:dyDescent="0.25">
      <c r="A38" s="7" t="s">
        <v>249</v>
      </c>
      <c r="B38" s="7" t="s">
        <v>157</v>
      </c>
      <c r="C38" s="7" t="s">
        <v>242</v>
      </c>
      <c r="D38" s="8">
        <v>4</v>
      </c>
      <c r="E38" s="7" t="str">
        <f>B38&amp;" Mastery "&amp;INDEX(Tiers!$B$2:$B$6,MATCH(D38,Tiers!$A$2:$A$6,0))</f>
        <v>Earth Mastery 600</v>
      </c>
      <c r="F38" s="9" t="s">
        <v>250</v>
      </c>
      <c r="G38" s="7" t="s">
        <v>251</v>
      </c>
      <c r="H38" s="7" t="s">
        <v>252</v>
      </c>
      <c r="I38" s="7" t="s">
        <v>26</v>
      </c>
      <c r="J38" s="10" t="s">
        <v>253</v>
      </c>
      <c r="K38" s="7" t="s">
        <v>176</v>
      </c>
      <c r="L38" s="7" t="s">
        <v>254</v>
      </c>
      <c r="M38" s="9" t="s">
        <v>58</v>
      </c>
      <c r="N38" s="7" t="s">
        <v>255</v>
      </c>
      <c r="O38" s="11">
        <v>30</v>
      </c>
      <c r="P38" s="11">
        <v>25</v>
      </c>
      <c r="Q38" s="11">
        <v>2</v>
      </c>
      <c r="R38" s="11">
        <v>150</v>
      </c>
      <c r="S38" s="7" t="s">
        <v>256</v>
      </c>
      <c r="T38" s="7"/>
      <c r="U38" s="7" t="s">
        <v>985</v>
      </c>
      <c r="V38" s="7"/>
      <c r="W38" s="7"/>
      <c r="X38" s="7"/>
    </row>
    <row r="39" spans="1:24" ht="42.75" x14ac:dyDescent="0.25">
      <c r="A39" s="7" t="s">
        <v>257</v>
      </c>
      <c r="B39" s="7" t="s">
        <v>157</v>
      </c>
      <c r="C39" s="7" t="s">
        <v>242</v>
      </c>
      <c r="D39" s="8">
        <v>4</v>
      </c>
      <c r="E39" s="7" t="str">
        <f>B39&amp;" Mastery "&amp;INDEX(Tiers!$B$2:$B$6,MATCH(D39,Tiers!$A$2:$A$6,0))</f>
        <v>Earth Mastery 600</v>
      </c>
      <c r="F39" s="9" t="s">
        <v>258</v>
      </c>
      <c r="G39" s="7" t="s">
        <v>259</v>
      </c>
      <c r="H39" s="7" t="s">
        <v>260</v>
      </c>
      <c r="I39" s="7" t="s">
        <v>26</v>
      </c>
      <c r="J39" s="10" t="s">
        <v>261</v>
      </c>
      <c r="K39" s="7" t="s">
        <v>262</v>
      </c>
      <c r="L39" s="7" t="s">
        <v>263</v>
      </c>
      <c r="M39" s="9" t="s">
        <v>58</v>
      </c>
      <c r="N39" s="7" t="s">
        <v>264</v>
      </c>
      <c r="O39" s="11">
        <v>35</v>
      </c>
      <c r="P39" s="11">
        <v>25</v>
      </c>
      <c r="Q39" s="11">
        <v>2</v>
      </c>
      <c r="R39" s="11">
        <v>150</v>
      </c>
      <c r="S39" s="7" t="s">
        <v>256</v>
      </c>
      <c r="T39" s="7"/>
      <c r="U39" s="7" t="s">
        <v>985</v>
      </c>
      <c r="V39" s="7"/>
      <c r="W39" s="7"/>
      <c r="X39" s="7"/>
    </row>
    <row r="40" spans="1:24" ht="42.75" x14ac:dyDescent="0.25">
      <c r="A40" s="7" t="s">
        <v>265</v>
      </c>
      <c r="B40" s="7" t="s">
        <v>157</v>
      </c>
      <c r="C40" s="7" t="s">
        <v>158</v>
      </c>
      <c r="D40" s="8">
        <v>4</v>
      </c>
      <c r="E40" s="7" t="str">
        <f>B40&amp;" Mastery "&amp;INDEX(Tiers!$B$2:$B$6,MATCH(D40,Tiers!$A$2:$A$6,0))</f>
        <v>Earth Mastery 600</v>
      </c>
      <c r="F40" s="9" t="s">
        <v>266</v>
      </c>
      <c r="G40" s="7" t="s">
        <v>267</v>
      </c>
      <c r="H40" s="7" t="s">
        <v>213</v>
      </c>
      <c r="I40" s="7" t="s">
        <v>26</v>
      </c>
      <c r="J40" s="10" t="s">
        <v>268</v>
      </c>
      <c r="K40" s="7" t="s">
        <v>168</v>
      </c>
      <c r="L40" s="7" t="s">
        <v>269</v>
      </c>
      <c r="M40" s="9" t="s">
        <v>50</v>
      </c>
      <c r="N40" s="7" t="s">
        <v>270</v>
      </c>
      <c r="O40" s="11">
        <v>60</v>
      </c>
      <c r="P40" s="11">
        <v>25</v>
      </c>
      <c r="Q40" s="11">
        <v>2</v>
      </c>
      <c r="R40" s="11">
        <v>150</v>
      </c>
      <c r="S40" s="7" t="s">
        <v>256</v>
      </c>
      <c r="T40" s="7"/>
      <c r="U40" s="7" t="s">
        <v>985</v>
      </c>
      <c r="V40" s="7"/>
      <c r="W40" s="7"/>
      <c r="X40" s="7"/>
    </row>
    <row r="41" spans="1:24" ht="42.75" x14ac:dyDescent="0.25">
      <c r="A41" s="7" t="s">
        <v>271</v>
      </c>
      <c r="B41" s="7" t="s">
        <v>157</v>
      </c>
      <c r="C41" s="7" t="s">
        <v>158</v>
      </c>
      <c r="D41" s="8">
        <v>5</v>
      </c>
      <c r="E41" s="7" t="str">
        <f>B41&amp;" Mastery "&amp;INDEX(Tiers!$B$2:$B$6,MATCH(D41,Tiers!$A$2:$A$6,0))</f>
        <v>Earth Mastery 900</v>
      </c>
      <c r="F41" s="9" t="s">
        <v>272</v>
      </c>
      <c r="G41" s="7" t="s">
        <v>267</v>
      </c>
      <c r="H41" s="7" t="s">
        <v>273</v>
      </c>
      <c r="I41" s="7" t="s">
        <v>26</v>
      </c>
      <c r="J41" s="10" t="s">
        <v>274</v>
      </c>
      <c r="K41" s="7" t="s">
        <v>168</v>
      </c>
      <c r="L41" s="7" t="s">
        <v>275</v>
      </c>
      <c r="M41" s="9" t="s">
        <v>50</v>
      </c>
      <c r="N41" s="7" t="s">
        <v>276</v>
      </c>
      <c r="O41" s="11">
        <v>120</v>
      </c>
      <c r="P41" s="11">
        <v>50</v>
      </c>
      <c r="Q41" s="11">
        <v>10</v>
      </c>
      <c r="R41" s="11">
        <v>200</v>
      </c>
      <c r="S41" s="7" t="s">
        <v>277</v>
      </c>
      <c r="T41" s="7"/>
      <c r="U41" s="7" t="s">
        <v>985</v>
      </c>
      <c r="V41" s="7"/>
      <c r="W41" s="7"/>
      <c r="X41" s="7"/>
    </row>
    <row r="42" spans="1:24" ht="42.75" x14ac:dyDescent="0.25">
      <c r="A42" s="7" t="s">
        <v>278</v>
      </c>
      <c r="B42" s="7" t="s">
        <v>157</v>
      </c>
      <c r="C42" s="7" t="s">
        <v>172</v>
      </c>
      <c r="D42" s="8">
        <v>5</v>
      </c>
      <c r="E42" s="7" t="str">
        <f>B42&amp;" Mastery "&amp;INDEX(Tiers!$B$2:$B$6,MATCH(D42,Tiers!$A$2:$A$6,0))</f>
        <v>Earth Mastery 900</v>
      </c>
      <c r="F42" s="9" t="s">
        <v>279</v>
      </c>
      <c r="G42" s="7" t="s">
        <v>280</v>
      </c>
      <c r="H42" s="7" t="s">
        <v>281</v>
      </c>
      <c r="I42" s="7" t="s">
        <v>26</v>
      </c>
      <c r="J42" s="10" t="s">
        <v>282</v>
      </c>
      <c r="K42" s="7" t="s">
        <v>161</v>
      </c>
      <c r="L42" s="7" t="s">
        <v>283</v>
      </c>
      <c r="M42" s="9" t="s">
        <v>58</v>
      </c>
      <c r="N42" s="7" t="s">
        <v>284</v>
      </c>
      <c r="O42" s="11">
        <v>90</v>
      </c>
      <c r="P42" s="11">
        <v>50</v>
      </c>
      <c r="Q42" s="11">
        <v>10</v>
      </c>
      <c r="R42" s="11">
        <v>200</v>
      </c>
      <c r="S42" s="7" t="s">
        <v>277</v>
      </c>
      <c r="T42" s="7"/>
      <c r="U42" s="7" t="s">
        <v>985</v>
      </c>
      <c r="V42" s="7"/>
      <c r="W42" s="7"/>
      <c r="X42" s="7"/>
    </row>
    <row r="43" spans="1:24" ht="42.75" x14ac:dyDescent="0.25">
      <c r="A43" s="12" t="s">
        <v>285</v>
      </c>
      <c r="B43" s="12" t="s">
        <v>286</v>
      </c>
      <c r="C43" s="12" t="s">
        <v>287</v>
      </c>
      <c r="D43" s="13">
        <v>1</v>
      </c>
      <c r="E43" s="12" t="str">
        <f>B43&amp;" Mastery "&amp;INDEX(Tiers!$B$2:$B$6,MATCH(D43,Tiers!$A$2:$A$6,0))</f>
        <v>Water Mastery 0</v>
      </c>
      <c r="F43" s="14" t="s">
        <v>288</v>
      </c>
      <c r="G43" s="12" t="s">
        <v>289</v>
      </c>
      <c r="H43" s="12" t="s">
        <v>25</v>
      </c>
      <c r="I43" s="12" t="s">
        <v>26</v>
      </c>
      <c r="J43" s="15" t="s">
        <v>290</v>
      </c>
      <c r="K43" s="12" t="s">
        <v>291</v>
      </c>
      <c r="L43" s="12" t="s">
        <v>292</v>
      </c>
      <c r="M43" s="14" t="s">
        <v>30</v>
      </c>
      <c r="N43" s="12" t="s">
        <v>293</v>
      </c>
      <c r="O43" s="16">
        <v>3</v>
      </c>
      <c r="P43" s="16">
        <v>5</v>
      </c>
      <c r="Q43" s="16">
        <v>0.2</v>
      </c>
      <c r="R43" s="16">
        <v>50</v>
      </c>
      <c r="S43" s="12" t="s">
        <v>294</v>
      </c>
      <c r="T43" s="12"/>
      <c r="U43" s="12" t="s">
        <v>970</v>
      </c>
      <c r="V43" s="12">
        <v>2</v>
      </c>
      <c r="W43" s="12" t="s">
        <v>991</v>
      </c>
      <c r="X43" s="12" t="s">
        <v>992</v>
      </c>
    </row>
    <row r="44" spans="1:24" ht="42.75" x14ac:dyDescent="0.25">
      <c r="A44" s="12" t="s">
        <v>295</v>
      </c>
      <c r="B44" s="12" t="s">
        <v>286</v>
      </c>
      <c r="C44" s="12" t="s">
        <v>296</v>
      </c>
      <c r="D44" s="13">
        <v>1</v>
      </c>
      <c r="E44" s="12" t="str">
        <f>B44&amp;" Mastery "&amp;INDEX(Tiers!$B$2:$B$6,MATCH(D44,Tiers!$A$2:$A$6,0))</f>
        <v>Water Mastery 0</v>
      </c>
      <c r="F44" s="14" t="s">
        <v>297</v>
      </c>
      <c r="G44" s="12" t="s">
        <v>24</v>
      </c>
      <c r="H44" s="12" t="s">
        <v>25</v>
      </c>
      <c r="I44" s="12" t="s">
        <v>26</v>
      </c>
      <c r="J44" s="15" t="s">
        <v>298</v>
      </c>
      <c r="K44" s="12" t="s">
        <v>291</v>
      </c>
      <c r="L44" s="12" t="s">
        <v>299</v>
      </c>
      <c r="M44" s="14" t="s">
        <v>30</v>
      </c>
      <c r="N44" s="12" t="s">
        <v>300</v>
      </c>
      <c r="O44" s="16">
        <v>2</v>
      </c>
      <c r="P44" s="16">
        <v>5</v>
      </c>
      <c r="Q44" s="16">
        <v>0.2</v>
      </c>
      <c r="R44" s="16">
        <v>50</v>
      </c>
      <c r="S44" s="12" t="s">
        <v>294</v>
      </c>
      <c r="T44" s="12"/>
      <c r="U44" s="12" t="s">
        <v>967</v>
      </c>
      <c r="V44" s="12">
        <v>3</v>
      </c>
      <c r="W44" s="12" t="s">
        <v>993</v>
      </c>
      <c r="X44" s="12" t="s">
        <v>994</v>
      </c>
    </row>
    <row r="45" spans="1:24" ht="42.75" x14ac:dyDescent="0.25">
      <c r="A45" s="12" t="s">
        <v>301</v>
      </c>
      <c r="B45" s="12" t="s">
        <v>286</v>
      </c>
      <c r="C45" s="12" t="s">
        <v>302</v>
      </c>
      <c r="D45" s="13">
        <v>1</v>
      </c>
      <c r="E45" s="12" t="str">
        <f>B45&amp;" Mastery "&amp;INDEX(Tiers!$B$2:$B$6,MATCH(D45,Tiers!$A$2:$A$6,0))</f>
        <v>Water Mastery 0</v>
      </c>
      <c r="F45" s="14" t="s">
        <v>303</v>
      </c>
      <c r="G45" s="12" t="s">
        <v>304</v>
      </c>
      <c r="H45" s="12" t="s">
        <v>25</v>
      </c>
      <c r="I45" s="12" t="s">
        <v>26</v>
      </c>
      <c r="J45" s="15" t="s">
        <v>305</v>
      </c>
      <c r="K45" s="12" t="s">
        <v>291</v>
      </c>
      <c r="L45" s="12" t="s">
        <v>306</v>
      </c>
      <c r="M45" s="14" t="s">
        <v>30</v>
      </c>
      <c r="N45" s="12" t="s">
        <v>307</v>
      </c>
      <c r="O45" s="16">
        <v>20</v>
      </c>
      <c r="P45" s="16">
        <v>5</v>
      </c>
      <c r="Q45" s="16">
        <v>0.4</v>
      </c>
      <c r="R45" s="16">
        <v>50</v>
      </c>
      <c r="S45" s="12" t="s">
        <v>308</v>
      </c>
      <c r="T45" s="12"/>
      <c r="U45" s="12" t="s">
        <v>970</v>
      </c>
      <c r="V45" s="12" t="s">
        <v>975</v>
      </c>
      <c r="W45" s="12"/>
      <c r="X45" s="12" t="s">
        <v>995</v>
      </c>
    </row>
    <row r="46" spans="1:24" ht="42.75" x14ac:dyDescent="0.25">
      <c r="A46" s="12" t="s">
        <v>309</v>
      </c>
      <c r="B46" s="12" t="s">
        <v>286</v>
      </c>
      <c r="C46" s="12" t="s">
        <v>310</v>
      </c>
      <c r="D46" s="13">
        <v>1</v>
      </c>
      <c r="E46" s="12" t="str">
        <f>B46&amp;" Mastery "&amp;INDEX(Tiers!$B$2:$B$6,MATCH(D46,Tiers!$A$2:$A$6,0))</f>
        <v>Water Mastery 0</v>
      </c>
      <c r="F46" s="14" t="s">
        <v>311</v>
      </c>
      <c r="G46" s="12" t="s">
        <v>312</v>
      </c>
      <c r="H46" s="12" t="s">
        <v>25</v>
      </c>
      <c r="I46" s="12" t="s">
        <v>26</v>
      </c>
      <c r="J46" s="15" t="s">
        <v>313</v>
      </c>
      <c r="K46" s="12" t="s">
        <v>291</v>
      </c>
      <c r="L46" s="12" t="s">
        <v>314</v>
      </c>
      <c r="M46" s="14" t="s">
        <v>43</v>
      </c>
      <c r="N46" s="12" t="s">
        <v>315</v>
      </c>
      <c r="O46" s="16">
        <v>4</v>
      </c>
      <c r="P46" s="16">
        <v>5</v>
      </c>
      <c r="Q46" s="16">
        <v>0.2</v>
      </c>
      <c r="R46" s="16">
        <v>50</v>
      </c>
      <c r="S46" s="12" t="s">
        <v>294</v>
      </c>
      <c r="T46" s="12"/>
      <c r="U46" s="12" t="s">
        <v>970</v>
      </c>
      <c r="V46" s="12">
        <v>1.5</v>
      </c>
      <c r="W46" s="12" t="s">
        <v>996</v>
      </c>
      <c r="X46" s="12" t="s">
        <v>997</v>
      </c>
    </row>
    <row r="47" spans="1:24" ht="42.75" x14ac:dyDescent="0.25">
      <c r="A47" s="12" t="s">
        <v>316</v>
      </c>
      <c r="B47" s="12" t="s">
        <v>286</v>
      </c>
      <c r="C47" s="12" t="s">
        <v>287</v>
      </c>
      <c r="D47" s="13">
        <v>2</v>
      </c>
      <c r="E47" s="12" t="str">
        <f>B47&amp;" Mastery "&amp;INDEX(Tiers!$B$2:$B$6,MATCH(D47,Tiers!$A$2:$A$6,0))</f>
        <v>Water Mastery 150</v>
      </c>
      <c r="F47" s="14" t="s">
        <v>317</v>
      </c>
      <c r="G47" s="12" t="s">
        <v>318</v>
      </c>
      <c r="H47" s="12" t="s">
        <v>288</v>
      </c>
      <c r="I47" s="12" t="s">
        <v>26</v>
      </c>
      <c r="J47" s="15" t="s">
        <v>319</v>
      </c>
      <c r="K47" s="12" t="s">
        <v>291</v>
      </c>
      <c r="L47" s="12" t="s">
        <v>320</v>
      </c>
      <c r="M47" s="14" t="s">
        <v>30</v>
      </c>
      <c r="N47" s="12" t="s">
        <v>321</v>
      </c>
      <c r="O47" s="16">
        <v>8</v>
      </c>
      <c r="P47" s="16">
        <v>10</v>
      </c>
      <c r="Q47" s="16">
        <v>0.3</v>
      </c>
      <c r="R47" s="16">
        <v>70</v>
      </c>
      <c r="S47" s="12" t="s">
        <v>322</v>
      </c>
      <c r="T47" s="12"/>
      <c r="U47" s="12" t="s">
        <v>970</v>
      </c>
      <c r="V47" s="12">
        <v>2.5</v>
      </c>
      <c r="W47" s="12" t="s">
        <v>998</v>
      </c>
      <c r="X47" s="12" t="s">
        <v>999</v>
      </c>
    </row>
    <row r="48" spans="1:24" ht="42.75" x14ac:dyDescent="0.25">
      <c r="A48" s="12" t="s">
        <v>323</v>
      </c>
      <c r="B48" s="12" t="s">
        <v>286</v>
      </c>
      <c r="C48" s="12" t="s">
        <v>296</v>
      </c>
      <c r="D48" s="13">
        <v>2</v>
      </c>
      <c r="E48" s="12" t="str">
        <f>B48&amp;" Mastery "&amp;INDEX(Tiers!$B$2:$B$6,MATCH(D48,Tiers!$A$2:$A$6,0))</f>
        <v>Water Mastery 150</v>
      </c>
      <c r="F48" s="14" t="s">
        <v>324</v>
      </c>
      <c r="G48" s="12" t="s">
        <v>312</v>
      </c>
      <c r="H48" s="12" t="s">
        <v>297</v>
      </c>
      <c r="I48" s="12" t="s">
        <v>26</v>
      </c>
      <c r="J48" s="15" t="s">
        <v>325</v>
      </c>
      <c r="K48" s="12" t="s">
        <v>291</v>
      </c>
      <c r="L48" s="12" t="s">
        <v>326</v>
      </c>
      <c r="M48" s="14" t="s">
        <v>43</v>
      </c>
      <c r="N48" s="12" t="s">
        <v>327</v>
      </c>
      <c r="O48" s="16">
        <v>8</v>
      </c>
      <c r="P48" s="16">
        <v>10</v>
      </c>
      <c r="Q48" s="16">
        <v>0.3</v>
      </c>
      <c r="R48" s="16">
        <v>70</v>
      </c>
      <c r="S48" s="12" t="s">
        <v>322</v>
      </c>
      <c r="T48" s="12"/>
      <c r="U48" s="12" t="s">
        <v>970</v>
      </c>
      <c r="V48" s="12">
        <v>2</v>
      </c>
      <c r="W48" s="12" t="s">
        <v>991</v>
      </c>
      <c r="X48" s="12" t="s">
        <v>1000</v>
      </c>
    </row>
    <row r="49" spans="1:24" ht="42.75" x14ac:dyDescent="0.25">
      <c r="A49" s="12" t="s">
        <v>328</v>
      </c>
      <c r="B49" s="12" t="s">
        <v>286</v>
      </c>
      <c r="C49" s="12" t="s">
        <v>296</v>
      </c>
      <c r="D49" s="13">
        <v>2</v>
      </c>
      <c r="E49" s="12" t="str">
        <f>B49&amp;" Mastery "&amp;INDEX(Tiers!$B$2:$B$6,MATCH(D49,Tiers!$A$2:$A$6,0))</f>
        <v>Water Mastery 150</v>
      </c>
      <c r="F49" s="14" t="s">
        <v>329</v>
      </c>
      <c r="G49" s="12" t="s">
        <v>330</v>
      </c>
      <c r="H49" s="12" t="s">
        <v>297</v>
      </c>
      <c r="I49" s="12" t="s">
        <v>26</v>
      </c>
      <c r="J49" s="15" t="s">
        <v>331</v>
      </c>
      <c r="K49" s="12" t="s">
        <v>291</v>
      </c>
      <c r="L49" s="12" t="s">
        <v>332</v>
      </c>
      <c r="M49" s="14" t="s">
        <v>30</v>
      </c>
      <c r="N49" s="12" t="s">
        <v>333</v>
      </c>
      <c r="O49" s="16">
        <v>10</v>
      </c>
      <c r="P49" s="16">
        <v>10</v>
      </c>
      <c r="Q49" s="16">
        <v>0.6</v>
      </c>
      <c r="R49" s="16">
        <v>70</v>
      </c>
      <c r="S49" s="12" t="s">
        <v>334</v>
      </c>
      <c r="T49" s="12"/>
      <c r="U49" s="12" t="s">
        <v>970</v>
      </c>
      <c r="V49" s="12">
        <v>2.5</v>
      </c>
      <c r="W49" s="12" t="s">
        <v>1001</v>
      </c>
      <c r="X49" s="12" t="s">
        <v>1002</v>
      </c>
    </row>
    <row r="50" spans="1:24" ht="42.75" x14ac:dyDescent="0.25">
      <c r="A50" s="12" t="s">
        <v>335</v>
      </c>
      <c r="B50" s="12" t="s">
        <v>286</v>
      </c>
      <c r="C50" s="12" t="s">
        <v>302</v>
      </c>
      <c r="D50" s="13">
        <v>2</v>
      </c>
      <c r="E50" s="12" t="str">
        <f>B50&amp;" Mastery "&amp;INDEX(Tiers!$B$2:$B$6,MATCH(D50,Tiers!$A$2:$A$6,0))</f>
        <v>Water Mastery 150</v>
      </c>
      <c r="F50" s="14" t="s">
        <v>336</v>
      </c>
      <c r="G50" s="12" t="s">
        <v>304</v>
      </c>
      <c r="H50" s="12" t="s">
        <v>303</v>
      </c>
      <c r="I50" s="12" t="s">
        <v>26</v>
      </c>
      <c r="J50" s="15" t="s">
        <v>337</v>
      </c>
      <c r="K50" s="12" t="s">
        <v>338</v>
      </c>
      <c r="L50" s="12" t="s">
        <v>339</v>
      </c>
      <c r="M50" s="14" t="s">
        <v>30</v>
      </c>
      <c r="N50" s="12" t="s">
        <v>307</v>
      </c>
      <c r="O50" s="16">
        <v>25</v>
      </c>
      <c r="P50" s="16">
        <v>10</v>
      </c>
      <c r="Q50" s="16">
        <v>0.6</v>
      </c>
      <c r="R50" s="16">
        <v>70</v>
      </c>
      <c r="S50" s="12" t="s">
        <v>334</v>
      </c>
      <c r="T50" s="12"/>
      <c r="U50" s="12" t="s">
        <v>970</v>
      </c>
      <c r="V50" s="12" t="s">
        <v>975</v>
      </c>
      <c r="W50" s="12"/>
      <c r="X50" s="12" t="s">
        <v>995</v>
      </c>
    </row>
    <row r="51" spans="1:24" ht="42.75" x14ac:dyDescent="0.25">
      <c r="A51" s="12" t="s">
        <v>340</v>
      </c>
      <c r="B51" s="12" t="s">
        <v>286</v>
      </c>
      <c r="C51" s="12" t="s">
        <v>310</v>
      </c>
      <c r="D51" s="13">
        <v>2</v>
      </c>
      <c r="E51" s="12" t="str">
        <f>B51&amp;" Mastery "&amp;INDEX(Tiers!$B$2:$B$6,MATCH(D51,Tiers!$A$2:$A$6,0))</f>
        <v>Water Mastery 150</v>
      </c>
      <c r="F51" s="14" t="s">
        <v>341</v>
      </c>
      <c r="G51" s="12" t="s">
        <v>342</v>
      </c>
      <c r="H51" s="12" t="s">
        <v>311</v>
      </c>
      <c r="I51" s="12" t="s">
        <v>26</v>
      </c>
      <c r="J51" s="15" t="s">
        <v>343</v>
      </c>
      <c r="K51" s="12" t="s">
        <v>291</v>
      </c>
      <c r="L51" s="12" t="s">
        <v>344</v>
      </c>
      <c r="M51" s="14" t="s">
        <v>58</v>
      </c>
      <c r="N51" s="12" t="s">
        <v>345</v>
      </c>
      <c r="O51" s="16">
        <v>10</v>
      </c>
      <c r="P51" s="16">
        <v>10</v>
      </c>
      <c r="Q51" s="16">
        <v>0.6</v>
      </c>
      <c r="R51" s="16">
        <v>70</v>
      </c>
      <c r="S51" s="12" t="s">
        <v>334</v>
      </c>
      <c r="T51" s="12"/>
      <c r="U51" s="12" t="s">
        <v>970</v>
      </c>
      <c r="V51" s="12">
        <v>2.5</v>
      </c>
      <c r="W51" s="12" t="s">
        <v>1001</v>
      </c>
      <c r="X51" s="12" t="s">
        <v>1003</v>
      </c>
    </row>
    <row r="52" spans="1:24" ht="42.75" x14ac:dyDescent="0.25">
      <c r="A52" s="12" t="s">
        <v>346</v>
      </c>
      <c r="B52" s="12" t="s">
        <v>286</v>
      </c>
      <c r="C52" s="12" t="s">
        <v>287</v>
      </c>
      <c r="D52" s="13">
        <v>3</v>
      </c>
      <c r="E52" s="12" t="str">
        <f>B52&amp;" Mastery "&amp;INDEX(Tiers!$B$2:$B$6,MATCH(D52,Tiers!$A$2:$A$6,0))</f>
        <v>Water Mastery 350</v>
      </c>
      <c r="F52" s="14" t="s">
        <v>347</v>
      </c>
      <c r="G52" s="12" t="s">
        <v>348</v>
      </c>
      <c r="H52" s="12" t="s">
        <v>317</v>
      </c>
      <c r="I52" s="12" t="s">
        <v>26</v>
      </c>
      <c r="J52" s="15" t="s">
        <v>349</v>
      </c>
      <c r="K52" s="12" t="s">
        <v>291</v>
      </c>
      <c r="L52" s="12" t="s">
        <v>350</v>
      </c>
      <c r="M52" s="14" t="s">
        <v>30</v>
      </c>
      <c r="N52" s="12" t="s">
        <v>307</v>
      </c>
      <c r="O52" s="16">
        <v>20</v>
      </c>
      <c r="P52" s="16">
        <v>15</v>
      </c>
      <c r="Q52" s="16">
        <v>0.8</v>
      </c>
      <c r="R52" s="16">
        <v>100</v>
      </c>
      <c r="S52" s="12" t="s">
        <v>351</v>
      </c>
      <c r="T52" s="12"/>
      <c r="U52" s="12" t="s">
        <v>985</v>
      </c>
      <c r="V52" s="12"/>
      <c r="W52" s="12"/>
      <c r="X52" s="12"/>
    </row>
    <row r="53" spans="1:24" ht="42.75" x14ac:dyDescent="0.25">
      <c r="A53" s="12" t="s">
        <v>352</v>
      </c>
      <c r="B53" s="12" t="s">
        <v>286</v>
      </c>
      <c r="C53" s="12" t="s">
        <v>296</v>
      </c>
      <c r="D53" s="13">
        <v>3</v>
      </c>
      <c r="E53" s="12" t="str">
        <f>B53&amp;" Mastery "&amp;INDEX(Tiers!$B$2:$B$6,MATCH(D53,Tiers!$A$2:$A$6,0))</f>
        <v>Water Mastery 350</v>
      </c>
      <c r="F53" s="14" t="s">
        <v>353</v>
      </c>
      <c r="G53" s="12" t="s">
        <v>24</v>
      </c>
      <c r="H53" s="12" t="s">
        <v>324</v>
      </c>
      <c r="I53" s="12" t="s">
        <v>26</v>
      </c>
      <c r="J53" s="15" t="s">
        <v>354</v>
      </c>
      <c r="K53" s="12" t="s">
        <v>291</v>
      </c>
      <c r="L53" s="12" t="s">
        <v>355</v>
      </c>
      <c r="M53" s="14" t="s">
        <v>43</v>
      </c>
      <c r="N53" s="12" t="s">
        <v>356</v>
      </c>
      <c r="O53" s="16">
        <v>12</v>
      </c>
      <c r="P53" s="16">
        <v>15</v>
      </c>
      <c r="Q53" s="16">
        <v>0.8</v>
      </c>
      <c r="R53" s="16">
        <v>100</v>
      </c>
      <c r="S53" s="12" t="s">
        <v>351</v>
      </c>
      <c r="T53" s="12"/>
      <c r="U53" s="12" t="s">
        <v>985</v>
      </c>
      <c r="V53" s="12"/>
      <c r="W53" s="12"/>
      <c r="X53" s="12"/>
    </row>
    <row r="54" spans="1:24" ht="42.75" x14ac:dyDescent="0.25">
      <c r="A54" s="12" t="s">
        <v>357</v>
      </c>
      <c r="B54" s="12" t="s">
        <v>286</v>
      </c>
      <c r="C54" s="12" t="s">
        <v>302</v>
      </c>
      <c r="D54" s="13">
        <v>3</v>
      </c>
      <c r="E54" s="12" t="str">
        <f>B54&amp;" Mastery "&amp;INDEX(Tiers!$B$2:$B$6,MATCH(D54,Tiers!$A$2:$A$6,0))</f>
        <v>Water Mastery 350</v>
      </c>
      <c r="F54" s="14" t="s">
        <v>358</v>
      </c>
      <c r="G54" s="12" t="s">
        <v>199</v>
      </c>
      <c r="H54" s="12" t="s">
        <v>336</v>
      </c>
      <c r="I54" s="12" t="s">
        <v>26</v>
      </c>
      <c r="J54" s="15" t="s">
        <v>359</v>
      </c>
      <c r="K54" s="12" t="s">
        <v>291</v>
      </c>
      <c r="L54" s="12" t="s">
        <v>360</v>
      </c>
      <c r="M54" s="14" t="s">
        <v>30</v>
      </c>
      <c r="N54" s="12" t="s">
        <v>307</v>
      </c>
      <c r="O54" s="16">
        <v>20</v>
      </c>
      <c r="P54" s="16">
        <v>15</v>
      </c>
      <c r="Q54" s="16">
        <v>0.8</v>
      </c>
      <c r="R54" s="16">
        <v>100</v>
      </c>
      <c r="S54" s="12" t="s">
        <v>351</v>
      </c>
      <c r="T54" s="12"/>
      <c r="U54" s="12" t="s">
        <v>985</v>
      </c>
      <c r="V54" s="12"/>
      <c r="W54" s="12"/>
      <c r="X54" s="12"/>
    </row>
    <row r="55" spans="1:24" ht="42.75" x14ac:dyDescent="0.25">
      <c r="A55" s="12" t="s">
        <v>361</v>
      </c>
      <c r="B55" s="12" t="s">
        <v>286</v>
      </c>
      <c r="C55" s="12" t="s">
        <v>310</v>
      </c>
      <c r="D55" s="13">
        <v>3</v>
      </c>
      <c r="E55" s="12" t="str">
        <f>B55&amp;" Mastery "&amp;INDEX(Tiers!$B$2:$B$6,MATCH(D55,Tiers!$A$2:$A$6,0))</f>
        <v>Water Mastery 350</v>
      </c>
      <c r="F55" s="14" t="s">
        <v>362</v>
      </c>
      <c r="G55" s="12" t="s">
        <v>363</v>
      </c>
      <c r="H55" s="12" t="s">
        <v>341</v>
      </c>
      <c r="I55" s="12" t="s">
        <v>26</v>
      </c>
      <c r="J55" s="15" t="s">
        <v>364</v>
      </c>
      <c r="K55" s="12" t="s">
        <v>291</v>
      </c>
      <c r="L55" s="12" t="s">
        <v>365</v>
      </c>
      <c r="M55" s="14" t="s">
        <v>30</v>
      </c>
      <c r="N55" s="12" t="s">
        <v>366</v>
      </c>
      <c r="O55" s="16">
        <v>20</v>
      </c>
      <c r="P55" s="16">
        <v>15</v>
      </c>
      <c r="Q55" s="16">
        <v>0.8</v>
      </c>
      <c r="R55" s="16">
        <v>100</v>
      </c>
      <c r="S55" s="12" t="s">
        <v>351</v>
      </c>
      <c r="T55" s="12"/>
      <c r="U55" s="12" t="s">
        <v>985</v>
      </c>
      <c r="V55" s="12"/>
      <c r="W55" s="12"/>
      <c r="X55" s="12"/>
    </row>
    <row r="56" spans="1:24" ht="42.75" x14ac:dyDescent="0.25">
      <c r="A56" s="12" t="s">
        <v>367</v>
      </c>
      <c r="B56" s="12" t="s">
        <v>286</v>
      </c>
      <c r="C56" s="12" t="s">
        <v>287</v>
      </c>
      <c r="D56" s="13">
        <v>3</v>
      </c>
      <c r="E56" s="12" t="str">
        <f>B56&amp;" Mastery "&amp;INDEX(Tiers!$B$2:$B$6,MATCH(D56,Tiers!$A$2:$A$6,0))</f>
        <v>Water Mastery 350</v>
      </c>
      <c r="F56" s="14" t="s">
        <v>368</v>
      </c>
      <c r="G56" s="12" t="s">
        <v>369</v>
      </c>
      <c r="H56" s="12" t="s">
        <v>347</v>
      </c>
      <c r="I56" s="12" t="s">
        <v>26</v>
      </c>
      <c r="J56" s="15" t="s">
        <v>370</v>
      </c>
      <c r="K56" s="12" t="s">
        <v>371</v>
      </c>
      <c r="L56" s="12" t="s">
        <v>372</v>
      </c>
      <c r="M56" s="14" t="s">
        <v>30</v>
      </c>
      <c r="N56" s="12" t="s">
        <v>373</v>
      </c>
      <c r="O56" s="16">
        <v>120</v>
      </c>
      <c r="P56" s="16">
        <v>15</v>
      </c>
      <c r="Q56" s="16">
        <v>4</v>
      </c>
      <c r="R56" s="16">
        <v>100</v>
      </c>
      <c r="S56" s="12" t="s">
        <v>374</v>
      </c>
      <c r="T56" s="12"/>
      <c r="U56" s="12" t="s">
        <v>985</v>
      </c>
      <c r="V56" s="12"/>
      <c r="W56" s="12"/>
      <c r="X56" s="12"/>
    </row>
    <row r="57" spans="1:24" ht="42.75" x14ac:dyDescent="0.25">
      <c r="A57" s="12" t="s">
        <v>375</v>
      </c>
      <c r="B57" s="12" t="s">
        <v>286</v>
      </c>
      <c r="C57" s="12" t="s">
        <v>296</v>
      </c>
      <c r="D57" s="13">
        <v>4</v>
      </c>
      <c r="E57" s="12" t="str">
        <f>B57&amp;" Mastery "&amp;INDEX(Tiers!$B$2:$B$6,MATCH(D57,Tiers!$A$2:$A$6,0))</f>
        <v>Water Mastery 600</v>
      </c>
      <c r="F57" s="14" t="s">
        <v>376</v>
      </c>
      <c r="G57" s="12" t="s">
        <v>342</v>
      </c>
      <c r="H57" s="12" t="s">
        <v>353</v>
      </c>
      <c r="I57" s="12" t="s">
        <v>26</v>
      </c>
      <c r="J57" s="15" t="s">
        <v>377</v>
      </c>
      <c r="K57" s="12" t="s">
        <v>291</v>
      </c>
      <c r="L57" s="12" t="s">
        <v>378</v>
      </c>
      <c r="M57" s="14" t="s">
        <v>43</v>
      </c>
      <c r="N57" s="12" t="s">
        <v>379</v>
      </c>
      <c r="O57" s="16">
        <v>30</v>
      </c>
      <c r="P57" s="16">
        <v>25</v>
      </c>
      <c r="Q57" s="16">
        <v>2</v>
      </c>
      <c r="R57" s="16">
        <v>150</v>
      </c>
      <c r="S57" s="12" t="s">
        <v>380</v>
      </c>
      <c r="T57" s="12"/>
      <c r="U57" s="12" t="s">
        <v>985</v>
      </c>
      <c r="V57" s="12"/>
      <c r="W57" s="12"/>
      <c r="X57" s="12"/>
    </row>
    <row r="58" spans="1:24" ht="42.75" x14ac:dyDescent="0.25">
      <c r="A58" s="12" t="s">
        <v>381</v>
      </c>
      <c r="B58" s="12" t="s">
        <v>286</v>
      </c>
      <c r="C58" s="12" t="s">
        <v>302</v>
      </c>
      <c r="D58" s="13">
        <v>4</v>
      </c>
      <c r="E58" s="12" t="str">
        <f>B58&amp;" Mastery "&amp;INDEX(Tiers!$B$2:$B$6,MATCH(D58,Tiers!$A$2:$A$6,0))</f>
        <v>Water Mastery 600</v>
      </c>
      <c r="F58" s="14" t="s">
        <v>382</v>
      </c>
      <c r="G58" s="12" t="s">
        <v>383</v>
      </c>
      <c r="H58" s="12" t="s">
        <v>358</v>
      </c>
      <c r="I58" s="12" t="s">
        <v>26</v>
      </c>
      <c r="J58" s="15" t="s">
        <v>384</v>
      </c>
      <c r="K58" s="12" t="s">
        <v>291</v>
      </c>
      <c r="L58" s="12" t="s">
        <v>385</v>
      </c>
      <c r="M58" s="14" t="s">
        <v>50</v>
      </c>
      <c r="N58" s="12" t="s">
        <v>386</v>
      </c>
      <c r="O58" s="16">
        <v>45</v>
      </c>
      <c r="P58" s="16">
        <v>25</v>
      </c>
      <c r="Q58" s="16">
        <v>2</v>
      </c>
      <c r="R58" s="16">
        <v>150</v>
      </c>
      <c r="S58" s="12" t="s">
        <v>380</v>
      </c>
      <c r="T58" s="12"/>
      <c r="U58" s="12" t="s">
        <v>985</v>
      </c>
      <c r="V58" s="12"/>
      <c r="W58" s="12"/>
      <c r="X58" s="12"/>
    </row>
    <row r="59" spans="1:24" ht="42.75" x14ac:dyDescent="0.25">
      <c r="A59" s="12" t="s">
        <v>387</v>
      </c>
      <c r="B59" s="12" t="s">
        <v>286</v>
      </c>
      <c r="C59" s="12" t="s">
        <v>287</v>
      </c>
      <c r="D59" s="13">
        <v>4</v>
      </c>
      <c r="E59" s="12" t="str">
        <f>B59&amp;" Mastery "&amp;INDEX(Tiers!$B$2:$B$6,MATCH(D59,Tiers!$A$2:$A$6,0))</f>
        <v>Water Mastery 600</v>
      </c>
      <c r="F59" s="14" t="s">
        <v>388</v>
      </c>
      <c r="G59" s="12" t="s">
        <v>389</v>
      </c>
      <c r="H59" s="12" t="s">
        <v>347</v>
      </c>
      <c r="I59" s="12" t="s">
        <v>26</v>
      </c>
      <c r="J59" s="15" t="s">
        <v>390</v>
      </c>
      <c r="K59" s="12" t="s">
        <v>291</v>
      </c>
      <c r="L59" s="12" t="s">
        <v>391</v>
      </c>
      <c r="M59" s="14" t="s">
        <v>58</v>
      </c>
      <c r="N59" s="12" t="s">
        <v>392</v>
      </c>
      <c r="O59" s="16">
        <v>25</v>
      </c>
      <c r="P59" s="16">
        <v>25</v>
      </c>
      <c r="Q59" s="16">
        <v>1</v>
      </c>
      <c r="R59" s="16">
        <v>150</v>
      </c>
      <c r="S59" s="12" t="s">
        <v>393</v>
      </c>
      <c r="T59" s="12"/>
      <c r="U59" s="12" t="s">
        <v>985</v>
      </c>
      <c r="V59" s="12"/>
      <c r="W59" s="12"/>
      <c r="X59" s="12"/>
    </row>
    <row r="60" spans="1:24" ht="42.75" x14ac:dyDescent="0.25">
      <c r="A60" s="12" t="s">
        <v>394</v>
      </c>
      <c r="B60" s="12" t="s">
        <v>286</v>
      </c>
      <c r="C60" s="12" t="s">
        <v>310</v>
      </c>
      <c r="D60" s="13">
        <v>4</v>
      </c>
      <c r="E60" s="12" t="str">
        <f>B60&amp;" Mastery "&amp;INDEX(Tiers!$B$2:$B$6,MATCH(D60,Tiers!$A$2:$A$6,0))</f>
        <v>Water Mastery 600</v>
      </c>
      <c r="F60" s="14" t="s">
        <v>395</v>
      </c>
      <c r="G60" s="12" t="s">
        <v>396</v>
      </c>
      <c r="H60" s="12" t="s">
        <v>397</v>
      </c>
      <c r="I60" s="12" t="s">
        <v>26</v>
      </c>
      <c r="J60" s="15" t="s">
        <v>398</v>
      </c>
      <c r="K60" s="12" t="s">
        <v>291</v>
      </c>
      <c r="L60" s="12" t="s">
        <v>399</v>
      </c>
      <c r="M60" s="14" t="s">
        <v>58</v>
      </c>
      <c r="N60" s="12" t="s">
        <v>400</v>
      </c>
      <c r="O60" s="16">
        <v>30</v>
      </c>
      <c r="P60" s="16">
        <v>25</v>
      </c>
      <c r="Q60" s="16">
        <v>2</v>
      </c>
      <c r="R60" s="16">
        <v>150</v>
      </c>
      <c r="S60" s="12" t="s">
        <v>380</v>
      </c>
      <c r="T60" s="12"/>
      <c r="U60" s="12" t="s">
        <v>985</v>
      </c>
      <c r="V60" s="12"/>
      <c r="W60" s="12"/>
      <c r="X60" s="12"/>
    </row>
    <row r="61" spans="1:24" ht="42.75" x14ac:dyDescent="0.25">
      <c r="A61" s="12" t="s">
        <v>401</v>
      </c>
      <c r="B61" s="12" t="s">
        <v>286</v>
      </c>
      <c r="C61" s="12" t="s">
        <v>310</v>
      </c>
      <c r="D61" s="13">
        <v>4</v>
      </c>
      <c r="E61" s="12" t="str">
        <f>B61&amp;" Mastery "&amp;INDEX(Tiers!$B$2:$B$6,MATCH(D61,Tiers!$A$2:$A$6,0))</f>
        <v>Water Mastery 600</v>
      </c>
      <c r="F61" s="14" t="s">
        <v>402</v>
      </c>
      <c r="G61" s="12" t="s">
        <v>403</v>
      </c>
      <c r="H61" s="12" t="s">
        <v>362</v>
      </c>
      <c r="I61" s="12" t="s">
        <v>26</v>
      </c>
      <c r="J61" s="15" t="s">
        <v>404</v>
      </c>
      <c r="K61" s="12" t="s">
        <v>291</v>
      </c>
      <c r="L61" s="12" t="s">
        <v>405</v>
      </c>
      <c r="M61" s="14" t="s">
        <v>30</v>
      </c>
      <c r="N61" s="12" t="s">
        <v>406</v>
      </c>
      <c r="O61" s="16">
        <v>60</v>
      </c>
      <c r="P61" s="16">
        <v>25</v>
      </c>
      <c r="Q61" s="16">
        <v>2</v>
      </c>
      <c r="R61" s="16">
        <v>150</v>
      </c>
      <c r="S61" s="12" t="s">
        <v>380</v>
      </c>
      <c r="T61" s="12"/>
      <c r="U61" s="12" t="s">
        <v>985</v>
      </c>
      <c r="V61" s="12"/>
      <c r="W61" s="12"/>
      <c r="X61" s="12"/>
    </row>
    <row r="62" spans="1:24" ht="42.75" x14ac:dyDescent="0.25">
      <c r="A62" s="12" t="s">
        <v>407</v>
      </c>
      <c r="B62" s="12" t="s">
        <v>286</v>
      </c>
      <c r="C62" s="12" t="s">
        <v>296</v>
      </c>
      <c r="D62" s="13">
        <v>4</v>
      </c>
      <c r="E62" s="12" t="str">
        <f>B62&amp;" Mastery "&amp;INDEX(Tiers!$B$2:$B$6,MATCH(D62,Tiers!$A$2:$A$6,0))</f>
        <v>Water Mastery 600</v>
      </c>
      <c r="F62" s="14" t="s">
        <v>408</v>
      </c>
      <c r="G62" s="12" t="s">
        <v>409</v>
      </c>
      <c r="H62" s="12" t="s">
        <v>410</v>
      </c>
      <c r="I62" s="12" t="s">
        <v>26</v>
      </c>
      <c r="J62" s="15" t="s">
        <v>411</v>
      </c>
      <c r="K62" s="12" t="s">
        <v>291</v>
      </c>
      <c r="L62" s="12" t="s">
        <v>412</v>
      </c>
      <c r="M62" s="14" t="s">
        <v>50</v>
      </c>
      <c r="N62" s="12" t="s">
        <v>413</v>
      </c>
      <c r="O62" s="16">
        <v>45</v>
      </c>
      <c r="P62" s="16">
        <v>25</v>
      </c>
      <c r="Q62" s="16">
        <v>2</v>
      </c>
      <c r="R62" s="16">
        <v>150</v>
      </c>
      <c r="S62" s="12" t="s">
        <v>380</v>
      </c>
      <c r="T62" s="12"/>
      <c r="U62" s="12" t="s">
        <v>985</v>
      </c>
      <c r="V62" s="12"/>
      <c r="W62" s="12"/>
      <c r="X62" s="12"/>
    </row>
    <row r="63" spans="1:24" ht="42.75" x14ac:dyDescent="0.25">
      <c r="A63" s="12" t="s">
        <v>414</v>
      </c>
      <c r="B63" s="12" t="s">
        <v>286</v>
      </c>
      <c r="C63" s="12" t="s">
        <v>302</v>
      </c>
      <c r="D63" s="13">
        <v>5</v>
      </c>
      <c r="E63" s="12" t="str">
        <f>B63&amp;" Mastery "&amp;INDEX(Tiers!$B$2:$B$6,MATCH(D63,Tiers!$A$2:$A$6,0))</f>
        <v>Water Mastery 900</v>
      </c>
      <c r="F63" s="14" t="s">
        <v>415</v>
      </c>
      <c r="G63" s="12" t="s">
        <v>47</v>
      </c>
      <c r="H63" s="12" t="s">
        <v>382</v>
      </c>
      <c r="I63" s="12" t="s">
        <v>26</v>
      </c>
      <c r="J63" s="15" t="s">
        <v>416</v>
      </c>
      <c r="K63" s="12" t="s">
        <v>291</v>
      </c>
      <c r="L63" s="12" t="s">
        <v>417</v>
      </c>
      <c r="M63" s="14" t="s">
        <v>50</v>
      </c>
      <c r="N63" s="12" t="s">
        <v>51</v>
      </c>
      <c r="O63" s="16">
        <v>120</v>
      </c>
      <c r="P63" s="16">
        <v>50</v>
      </c>
      <c r="Q63" s="16">
        <v>10</v>
      </c>
      <c r="R63" s="16">
        <v>200</v>
      </c>
      <c r="S63" s="12" t="s">
        <v>418</v>
      </c>
      <c r="T63" s="12"/>
      <c r="U63" s="12" t="s">
        <v>985</v>
      </c>
      <c r="V63" s="12"/>
      <c r="W63" s="12"/>
      <c r="X63" s="12"/>
    </row>
    <row r="64" spans="1:24" ht="42.75" x14ac:dyDescent="0.25">
      <c r="A64" s="12" t="s">
        <v>419</v>
      </c>
      <c r="B64" s="12" t="s">
        <v>286</v>
      </c>
      <c r="C64" s="12" t="s">
        <v>287</v>
      </c>
      <c r="D64" s="13">
        <v>5</v>
      </c>
      <c r="E64" s="12" t="str">
        <f>B64&amp;" Mastery "&amp;INDEX(Tiers!$B$2:$B$6,MATCH(D64,Tiers!$A$2:$A$6,0))</f>
        <v>Water Mastery 900</v>
      </c>
      <c r="F64" s="14" t="s">
        <v>420</v>
      </c>
      <c r="G64" s="12" t="s">
        <v>47</v>
      </c>
      <c r="H64" s="12" t="s">
        <v>421</v>
      </c>
      <c r="I64" s="12" t="s">
        <v>26</v>
      </c>
      <c r="J64" s="15" t="s">
        <v>422</v>
      </c>
      <c r="K64" s="12" t="s">
        <v>291</v>
      </c>
      <c r="L64" s="12" t="s">
        <v>423</v>
      </c>
      <c r="M64" s="14" t="s">
        <v>50</v>
      </c>
      <c r="N64" s="12" t="s">
        <v>424</v>
      </c>
      <c r="O64" s="16">
        <v>120</v>
      </c>
      <c r="P64" s="16">
        <v>50</v>
      </c>
      <c r="Q64" s="16">
        <v>10</v>
      </c>
      <c r="R64" s="16">
        <v>200</v>
      </c>
      <c r="S64" s="12" t="s">
        <v>418</v>
      </c>
      <c r="T64" s="12"/>
      <c r="U64" s="12" t="s">
        <v>985</v>
      </c>
      <c r="V64" s="12"/>
      <c r="W64" s="12"/>
      <c r="X64" s="12"/>
    </row>
    <row r="65" spans="1:24" ht="42.75" x14ac:dyDescent="0.25">
      <c r="A65" s="12" t="s">
        <v>425</v>
      </c>
      <c r="B65" s="12" t="s">
        <v>286</v>
      </c>
      <c r="C65" s="12" t="s">
        <v>287</v>
      </c>
      <c r="D65" s="13">
        <v>5</v>
      </c>
      <c r="E65" s="12" t="str">
        <f>B65&amp;" Mastery "&amp;INDEX(Tiers!$B$2:$B$6,MATCH(D65,Tiers!$A$2:$A$6,0))</f>
        <v>Water Mastery 900</v>
      </c>
      <c r="F65" s="14" t="s">
        <v>426</v>
      </c>
      <c r="G65" s="12" t="s">
        <v>427</v>
      </c>
      <c r="H65" s="12" t="s">
        <v>428</v>
      </c>
      <c r="I65" s="12" t="s">
        <v>26</v>
      </c>
      <c r="J65" s="15" t="s">
        <v>429</v>
      </c>
      <c r="K65" s="12" t="s">
        <v>371</v>
      </c>
      <c r="L65" s="12" t="s">
        <v>430</v>
      </c>
      <c r="M65" s="14" t="s">
        <v>50</v>
      </c>
      <c r="N65" s="12" t="s">
        <v>431</v>
      </c>
      <c r="O65" s="16">
        <v>600</v>
      </c>
      <c r="P65" s="16">
        <v>50</v>
      </c>
      <c r="Q65" s="16">
        <v>10</v>
      </c>
      <c r="R65" s="16">
        <v>200</v>
      </c>
      <c r="S65" s="12" t="s">
        <v>418</v>
      </c>
      <c r="T65" s="12"/>
      <c r="U65" s="12" t="s">
        <v>985</v>
      </c>
      <c r="V65" s="12"/>
      <c r="W65" s="12"/>
      <c r="X65" s="12"/>
    </row>
    <row r="66" spans="1:24" ht="28.5" x14ac:dyDescent="0.25">
      <c r="A66" s="17" t="s">
        <v>432</v>
      </c>
      <c r="B66" s="17" t="s">
        <v>433</v>
      </c>
      <c r="C66" s="17" t="s">
        <v>434</v>
      </c>
      <c r="D66" s="18">
        <v>1</v>
      </c>
      <c r="E66" s="17" t="str">
        <f>B66&amp;" Mastery "&amp;INDEX(Tiers!$B$2:$B$6,MATCH(D66,Tiers!$A$2:$A$6,0))</f>
        <v>Air Mastery 0</v>
      </c>
      <c r="F66" s="19" t="s">
        <v>435</v>
      </c>
      <c r="G66" s="17" t="s">
        <v>403</v>
      </c>
      <c r="H66" s="17" t="s">
        <v>25</v>
      </c>
      <c r="I66" s="17" t="s">
        <v>26</v>
      </c>
      <c r="J66" s="20" t="s">
        <v>436</v>
      </c>
      <c r="K66" s="17" t="s">
        <v>437</v>
      </c>
      <c r="L66" s="17" t="s">
        <v>438</v>
      </c>
      <c r="M66" s="19" t="s">
        <v>30</v>
      </c>
      <c r="N66" s="17" t="s">
        <v>439</v>
      </c>
      <c r="O66" s="21">
        <v>4</v>
      </c>
      <c r="P66" s="21">
        <v>5</v>
      </c>
      <c r="Q66" s="21">
        <v>0.2</v>
      </c>
      <c r="R66" s="21">
        <v>50</v>
      </c>
      <c r="S66" s="17" t="s">
        <v>440</v>
      </c>
      <c r="T66" s="17"/>
      <c r="U66" s="17" t="s">
        <v>970</v>
      </c>
      <c r="V66" s="17">
        <v>0.8</v>
      </c>
      <c r="W66" s="17" t="s">
        <v>1004</v>
      </c>
      <c r="X66" s="17" t="s">
        <v>1005</v>
      </c>
    </row>
    <row r="67" spans="1:24" ht="28.5" x14ac:dyDescent="0.25">
      <c r="A67" s="17" t="s">
        <v>441</v>
      </c>
      <c r="B67" s="17" t="s">
        <v>433</v>
      </c>
      <c r="C67" s="17" t="s">
        <v>442</v>
      </c>
      <c r="D67" s="18">
        <v>1</v>
      </c>
      <c r="E67" s="17" t="str">
        <f>B67&amp;" Mastery "&amp;INDEX(Tiers!$B$2:$B$6,MATCH(D67,Tiers!$A$2:$A$6,0))</f>
        <v>Air Mastery 0</v>
      </c>
      <c r="F67" s="19" t="s">
        <v>443</v>
      </c>
      <c r="G67" s="17" t="s">
        <v>444</v>
      </c>
      <c r="H67" s="17" t="s">
        <v>25</v>
      </c>
      <c r="I67" s="17" t="s">
        <v>26</v>
      </c>
      <c r="J67" s="20" t="s">
        <v>445</v>
      </c>
      <c r="K67" s="17" t="s">
        <v>437</v>
      </c>
      <c r="L67" s="17" t="s">
        <v>446</v>
      </c>
      <c r="M67" s="19" t="s">
        <v>30</v>
      </c>
      <c r="N67" s="17" t="s">
        <v>447</v>
      </c>
      <c r="O67" s="21">
        <v>10</v>
      </c>
      <c r="P67" s="21">
        <v>5</v>
      </c>
      <c r="Q67" s="21">
        <v>0.4</v>
      </c>
      <c r="R67" s="21">
        <v>50</v>
      </c>
      <c r="S67" s="17" t="s">
        <v>448</v>
      </c>
      <c r="T67" s="17"/>
      <c r="U67" s="17" t="s">
        <v>970</v>
      </c>
      <c r="V67" s="17" t="s">
        <v>975</v>
      </c>
      <c r="W67" s="17"/>
      <c r="X67" s="17" t="s">
        <v>1006</v>
      </c>
    </row>
    <row r="68" spans="1:24" ht="28.5" x14ac:dyDescent="0.25">
      <c r="A68" s="17" t="s">
        <v>449</v>
      </c>
      <c r="B68" s="17" t="s">
        <v>433</v>
      </c>
      <c r="C68" s="17" t="s">
        <v>450</v>
      </c>
      <c r="D68" s="18">
        <v>1</v>
      </c>
      <c r="E68" s="17" t="str">
        <f>B68&amp;" Mastery "&amp;INDEX(Tiers!$B$2:$B$6,MATCH(D68,Tiers!$A$2:$A$6,0))</f>
        <v>Air Mastery 0</v>
      </c>
      <c r="F68" s="19" t="s">
        <v>451</v>
      </c>
      <c r="G68" s="17" t="s">
        <v>55</v>
      </c>
      <c r="H68" s="17" t="s">
        <v>25</v>
      </c>
      <c r="I68" s="17" t="s">
        <v>26</v>
      </c>
      <c r="J68" s="20" t="s">
        <v>452</v>
      </c>
      <c r="K68" s="17" t="s">
        <v>453</v>
      </c>
      <c r="L68" s="17" t="s">
        <v>454</v>
      </c>
      <c r="M68" s="19" t="s">
        <v>50</v>
      </c>
      <c r="N68" s="17" t="s">
        <v>51</v>
      </c>
      <c r="O68" s="21">
        <v>10</v>
      </c>
      <c r="P68" s="21">
        <v>5</v>
      </c>
      <c r="Q68" s="21">
        <v>0.4</v>
      </c>
      <c r="R68" s="21">
        <v>50</v>
      </c>
      <c r="S68" s="17" t="s">
        <v>448</v>
      </c>
      <c r="T68" s="17"/>
      <c r="U68" s="17" t="s">
        <v>970</v>
      </c>
      <c r="V68" s="17" t="s">
        <v>975</v>
      </c>
      <c r="W68" s="17"/>
      <c r="X68" s="17" t="s">
        <v>1007</v>
      </c>
    </row>
    <row r="69" spans="1:24" ht="28.5" x14ac:dyDescent="0.25">
      <c r="A69" s="17" t="s">
        <v>455</v>
      </c>
      <c r="B69" s="17" t="s">
        <v>433</v>
      </c>
      <c r="C69" s="17" t="s">
        <v>434</v>
      </c>
      <c r="D69" s="18">
        <v>1</v>
      </c>
      <c r="E69" s="17" t="str">
        <f>B69&amp;" Mastery "&amp;INDEX(Tiers!$B$2:$B$6,MATCH(D69,Tiers!$A$2:$A$6,0))</f>
        <v>Air Mastery 0</v>
      </c>
      <c r="F69" s="19" t="s">
        <v>456</v>
      </c>
      <c r="G69" s="17" t="s">
        <v>403</v>
      </c>
      <c r="H69" s="17" t="s">
        <v>25</v>
      </c>
      <c r="I69" s="17" t="s">
        <v>26</v>
      </c>
      <c r="J69" s="20" t="s">
        <v>457</v>
      </c>
      <c r="K69" s="17" t="s">
        <v>437</v>
      </c>
      <c r="L69" s="17" t="s">
        <v>458</v>
      </c>
      <c r="M69" s="19" t="s">
        <v>43</v>
      </c>
      <c r="N69" s="17" t="s">
        <v>459</v>
      </c>
      <c r="O69" s="21">
        <v>10</v>
      </c>
      <c r="P69" s="21">
        <v>5</v>
      </c>
      <c r="Q69" s="21">
        <v>0.4</v>
      </c>
      <c r="R69" s="21">
        <v>50</v>
      </c>
      <c r="S69" s="17" t="s">
        <v>448</v>
      </c>
      <c r="T69" s="17"/>
      <c r="U69" s="17" t="s">
        <v>985</v>
      </c>
      <c r="V69" s="17"/>
      <c r="W69" s="17"/>
      <c r="X69" s="17"/>
    </row>
    <row r="70" spans="1:24" ht="28.5" x14ac:dyDescent="0.25">
      <c r="A70" s="17" t="s">
        <v>460</v>
      </c>
      <c r="B70" s="17" t="s">
        <v>433</v>
      </c>
      <c r="C70" s="17" t="s">
        <v>434</v>
      </c>
      <c r="D70" s="18">
        <v>2</v>
      </c>
      <c r="E70" s="17" t="str">
        <f>B70&amp;" Mastery "&amp;INDEX(Tiers!$B$2:$B$6,MATCH(D70,Tiers!$A$2:$A$6,0))</f>
        <v>Air Mastery 150</v>
      </c>
      <c r="F70" s="19" t="s">
        <v>461</v>
      </c>
      <c r="G70" s="17" t="s">
        <v>403</v>
      </c>
      <c r="H70" s="17" t="s">
        <v>435</v>
      </c>
      <c r="I70" s="17" t="s">
        <v>26</v>
      </c>
      <c r="J70" s="20" t="s">
        <v>462</v>
      </c>
      <c r="K70" s="17" t="s">
        <v>437</v>
      </c>
      <c r="L70" s="17" t="s">
        <v>463</v>
      </c>
      <c r="M70" s="19" t="s">
        <v>30</v>
      </c>
      <c r="N70" s="17" t="s">
        <v>464</v>
      </c>
      <c r="O70" s="21">
        <v>10</v>
      </c>
      <c r="P70" s="21">
        <v>10</v>
      </c>
      <c r="Q70" s="21">
        <v>0.6</v>
      </c>
      <c r="R70" s="21">
        <v>70</v>
      </c>
      <c r="S70" s="17" t="s">
        <v>465</v>
      </c>
      <c r="T70" s="17"/>
      <c r="U70" s="17" t="s">
        <v>970</v>
      </c>
      <c r="V70" s="17">
        <v>1.2</v>
      </c>
      <c r="W70" s="17" t="s">
        <v>1008</v>
      </c>
      <c r="X70" s="17" t="s">
        <v>1009</v>
      </c>
    </row>
    <row r="71" spans="1:24" ht="28.5" x14ac:dyDescent="0.25">
      <c r="A71" s="17" t="s">
        <v>466</v>
      </c>
      <c r="B71" s="17" t="s">
        <v>433</v>
      </c>
      <c r="C71" s="17" t="s">
        <v>434</v>
      </c>
      <c r="D71" s="18">
        <v>2</v>
      </c>
      <c r="E71" s="17" t="str">
        <f>B71&amp;" Mastery "&amp;INDEX(Tiers!$B$2:$B$6,MATCH(D71,Tiers!$A$2:$A$6,0))</f>
        <v>Air Mastery 150</v>
      </c>
      <c r="F71" s="19" t="s">
        <v>467</v>
      </c>
      <c r="G71" s="17" t="s">
        <v>403</v>
      </c>
      <c r="H71" s="17" t="s">
        <v>456</v>
      </c>
      <c r="I71" s="17" t="s">
        <v>26</v>
      </c>
      <c r="J71" s="20" t="s">
        <v>468</v>
      </c>
      <c r="K71" s="17" t="s">
        <v>437</v>
      </c>
      <c r="L71" s="17" t="s">
        <v>469</v>
      </c>
      <c r="M71" s="19" t="s">
        <v>58</v>
      </c>
      <c r="N71" s="17" t="s">
        <v>470</v>
      </c>
      <c r="O71" s="21">
        <v>18</v>
      </c>
      <c r="P71" s="21">
        <v>10</v>
      </c>
      <c r="Q71" s="21">
        <v>0.6</v>
      </c>
      <c r="R71" s="21">
        <v>70</v>
      </c>
      <c r="S71" s="17" t="s">
        <v>465</v>
      </c>
      <c r="T71" s="17"/>
      <c r="U71" s="17" t="s">
        <v>985</v>
      </c>
      <c r="V71" s="17"/>
      <c r="W71" s="17"/>
      <c r="X71" s="17"/>
    </row>
    <row r="72" spans="1:24" ht="28.5" x14ac:dyDescent="0.25">
      <c r="A72" s="17" t="s">
        <v>471</v>
      </c>
      <c r="B72" s="17" t="s">
        <v>433</v>
      </c>
      <c r="C72" s="17" t="s">
        <v>442</v>
      </c>
      <c r="D72" s="18">
        <v>2</v>
      </c>
      <c r="E72" s="17" t="str">
        <f>B72&amp;" Mastery "&amp;INDEX(Tiers!$B$2:$B$6,MATCH(D72,Tiers!$A$2:$A$6,0))</f>
        <v>Air Mastery 150</v>
      </c>
      <c r="F72" s="19" t="s">
        <v>472</v>
      </c>
      <c r="G72" s="17" t="s">
        <v>403</v>
      </c>
      <c r="H72" s="17" t="s">
        <v>443</v>
      </c>
      <c r="I72" s="17" t="s">
        <v>26</v>
      </c>
      <c r="J72" s="20" t="s">
        <v>473</v>
      </c>
      <c r="K72" s="17" t="s">
        <v>437</v>
      </c>
      <c r="L72" s="17" t="s">
        <v>474</v>
      </c>
      <c r="M72" s="19" t="s">
        <v>30</v>
      </c>
      <c r="N72" s="17" t="s">
        <v>475</v>
      </c>
      <c r="O72" s="21">
        <v>18</v>
      </c>
      <c r="P72" s="21">
        <v>10</v>
      </c>
      <c r="Q72" s="21">
        <v>0.6</v>
      </c>
      <c r="R72" s="21">
        <v>70</v>
      </c>
      <c r="S72" s="17" t="s">
        <v>465</v>
      </c>
      <c r="T72" s="17"/>
      <c r="U72" s="17" t="s">
        <v>985</v>
      </c>
      <c r="V72" s="17"/>
      <c r="W72" s="17"/>
      <c r="X72" s="17"/>
    </row>
    <row r="73" spans="1:24" ht="28.5" x14ac:dyDescent="0.25">
      <c r="A73" s="17" t="s">
        <v>476</v>
      </c>
      <c r="B73" s="17" t="s">
        <v>433</v>
      </c>
      <c r="C73" s="17" t="s">
        <v>450</v>
      </c>
      <c r="D73" s="18">
        <v>2</v>
      </c>
      <c r="E73" s="17" t="str">
        <f>B73&amp;" Mastery "&amp;INDEX(Tiers!$B$2:$B$6,MATCH(D73,Tiers!$A$2:$A$6,0))</f>
        <v>Air Mastery 150</v>
      </c>
      <c r="F73" s="19" t="s">
        <v>477</v>
      </c>
      <c r="G73" s="17" t="s">
        <v>55</v>
      </c>
      <c r="H73" s="17" t="s">
        <v>451</v>
      </c>
      <c r="I73" s="17" t="s">
        <v>26</v>
      </c>
      <c r="J73" s="20" t="s">
        <v>478</v>
      </c>
      <c r="K73" s="17" t="s">
        <v>453</v>
      </c>
      <c r="L73" s="17" t="s">
        <v>479</v>
      </c>
      <c r="M73" s="19" t="s">
        <v>50</v>
      </c>
      <c r="N73" s="17" t="s">
        <v>51</v>
      </c>
      <c r="O73" s="21">
        <v>15</v>
      </c>
      <c r="P73" s="21">
        <v>10</v>
      </c>
      <c r="Q73" s="21">
        <v>0.6</v>
      </c>
      <c r="R73" s="21">
        <v>70</v>
      </c>
      <c r="S73" s="17" t="s">
        <v>465</v>
      </c>
      <c r="T73" s="17"/>
      <c r="U73" s="17" t="s">
        <v>985</v>
      </c>
      <c r="V73" s="17"/>
      <c r="W73" s="17"/>
      <c r="X73" s="17"/>
    </row>
    <row r="74" spans="1:24" ht="28.5" x14ac:dyDescent="0.25">
      <c r="A74" s="17" t="s">
        <v>480</v>
      </c>
      <c r="B74" s="17" t="s">
        <v>433</v>
      </c>
      <c r="C74" s="17" t="s">
        <v>450</v>
      </c>
      <c r="D74" s="18">
        <v>2</v>
      </c>
      <c r="E74" s="17" t="str">
        <f>B74&amp;" Mastery "&amp;INDEX(Tiers!$B$2:$B$6,MATCH(D74,Tiers!$A$2:$A$6,0))</f>
        <v>Air Mastery 150</v>
      </c>
      <c r="F74" s="19" t="s">
        <v>481</v>
      </c>
      <c r="G74" s="17" t="s">
        <v>482</v>
      </c>
      <c r="H74" s="17" t="s">
        <v>451</v>
      </c>
      <c r="I74" s="17" t="s">
        <v>26</v>
      </c>
      <c r="J74" s="20" t="s">
        <v>483</v>
      </c>
      <c r="K74" s="17" t="s">
        <v>437</v>
      </c>
      <c r="L74" s="17" t="s">
        <v>484</v>
      </c>
      <c r="M74" s="19" t="s">
        <v>50</v>
      </c>
      <c r="N74" s="17" t="s">
        <v>485</v>
      </c>
      <c r="O74" s="21">
        <v>18</v>
      </c>
      <c r="P74" s="21">
        <v>10</v>
      </c>
      <c r="Q74" s="21">
        <v>0.6</v>
      </c>
      <c r="R74" s="21">
        <v>70</v>
      </c>
      <c r="S74" s="17" t="s">
        <v>465</v>
      </c>
      <c r="T74" s="17"/>
      <c r="U74" s="17" t="s">
        <v>985</v>
      </c>
      <c r="V74" s="17"/>
      <c r="W74" s="17"/>
      <c r="X74" s="17"/>
    </row>
    <row r="75" spans="1:24" ht="42.75" x14ac:dyDescent="0.25">
      <c r="A75" s="17" t="s">
        <v>486</v>
      </c>
      <c r="B75" s="17" t="s">
        <v>433</v>
      </c>
      <c r="C75" s="17" t="s">
        <v>434</v>
      </c>
      <c r="D75" s="18">
        <v>3</v>
      </c>
      <c r="E75" s="17" t="str">
        <f>B75&amp;" Mastery "&amp;INDEX(Tiers!$B$2:$B$6,MATCH(D75,Tiers!$A$2:$A$6,0))</f>
        <v>Air Mastery 350</v>
      </c>
      <c r="F75" s="19" t="s">
        <v>487</v>
      </c>
      <c r="G75" s="17" t="s">
        <v>403</v>
      </c>
      <c r="H75" s="17" t="s">
        <v>467</v>
      </c>
      <c r="I75" s="17" t="s">
        <v>26</v>
      </c>
      <c r="J75" s="20" t="s">
        <v>488</v>
      </c>
      <c r="K75" s="17" t="s">
        <v>437</v>
      </c>
      <c r="L75" s="17" t="s">
        <v>489</v>
      </c>
      <c r="M75" s="19" t="s">
        <v>43</v>
      </c>
      <c r="N75" s="17" t="s">
        <v>490</v>
      </c>
      <c r="O75" s="21">
        <v>25</v>
      </c>
      <c r="P75" s="21">
        <v>15</v>
      </c>
      <c r="Q75" s="21">
        <v>0.8</v>
      </c>
      <c r="R75" s="21">
        <v>100</v>
      </c>
      <c r="S75" s="17" t="s">
        <v>491</v>
      </c>
      <c r="T75" s="17"/>
      <c r="U75" s="17" t="s">
        <v>985</v>
      </c>
      <c r="V75" s="17"/>
      <c r="W75" s="17"/>
      <c r="X75" s="17"/>
    </row>
    <row r="76" spans="1:24" ht="42.75" x14ac:dyDescent="0.25">
      <c r="A76" s="17" t="s">
        <v>492</v>
      </c>
      <c r="B76" s="17" t="s">
        <v>433</v>
      </c>
      <c r="C76" s="17" t="s">
        <v>442</v>
      </c>
      <c r="D76" s="18">
        <v>3</v>
      </c>
      <c r="E76" s="17" t="str">
        <f>B76&amp;" Mastery "&amp;INDEX(Tiers!$B$2:$B$6,MATCH(D76,Tiers!$A$2:$A$6,0))</f>
        <v>Air Mastery 350</v>
      </c>
      <c r="F76" s="19" t="s">
        <v>493</v>
      </c>
      <c r="G76" s="17" t="s">
        <v>494</v>
      </c>
      <c r="H76" s="17" t="s">
        <v>443</v>
      </c>
      <c r="I76" s="17" t="s">
        <v>26</v>
      </c>
      <c r="J76" s="20" t="s">
        <v>495</v>
      </c>
      <c r="K76" s="17" t="s">
        <v>437</v>
      </c>
      <c r="L76" s="17" t="s">
        <v>496</v>
      </c>
      <c r="M76" s="19" t="s">
        <v>30</v>
      </c>
      <c r="N76" s="17" t="s">
        <v>321</v>
      </c>
      <c r="O76" s="21">
        <v>25</v>
      </c>
      <c r="P76" s="21">
        <v>15</v>
      </c>
      <c r="Q76" s="21">
        <v>0.8</v>
      </c>
      <c r="R76" s="21">
        <v>100</v>
      </c>
      <c r="S76" s="17" t="s">
        <v>491</v>
      </c>
      <c r="T76" s="17"/>
      <c r="U76" s="17" t="s">
        <v>985</v>
      </c>
      <c r="V76" s="17"/>
      <c r="W76" s="17"/>
      <c r="X76" s="17"/>
    </row>
    <row r="77" spans="1:24" ht="42.75" x14ac:dyDescent="0.25">
      <c r="A77" s="17" t="s">
        <v>497</v>
      </c>
      <c r="B77" s="17" t="s">
        <v>433</v>
      </c>
      <c r="C77" s="17" t="s">
        <v>442</v>
      </c>
      <c r="D77" s="18">
        <v>3</v>
      </c>
      <c r="E77" s="17" t="str">
        <f>B77&amp;" Mastery "&amp;INDEX(Tiers!$B$2:$B$6,MATCH(D77,Tiers!$A$2:$A$6,0))</f>
        <v>Air Mastery 350</v>
      </c>
      <c r="F77" s="19" t="s">
        <v>498</v>
      </c>
      <c r="G77" s="17" t="s">
        <v>403</v>
      </c>
      <c r="H77" s="17" t="s">
        <v>472</v>
      </c>
      <c r="I77" s="17" t="s">
        <v>26</v>
      </c>
      <c r="J77" s="20" t="s">
        <v>499</v>
      </c>
      <c r="K77" s="17" t="s">
        <v>437</v>
      </c>
      <c r="L77" s="17" t="s">
        <v>500</v>
      </c>
      <c r="M77" s="19" t="s">
        <v>30</v>
      </c>
      <c r="N77" s="17" t="s">
        <v>501</v>
      </c>
      <c r="O77" s="21">
        <v>30</v>
      </c>
      <c r="P77" s="21">
        <v>15</v>
      </c>
      <c r="Q77" s="21">
        <v>1.6</v>
      </c>
      <c r="R77" s="21">
        <v>100</v>
      </c>
      <c r="S77" s="17" t="s">
        <v>502</v>
      </c>
      <c r="T77" s="17"/>
      <c r="U77" s="17" t="s">
        <v>985</v>
      </c>
      <c r="V77" s="17"/>
      <c r="W77" s="17"/>
      <c r="X77" s="17"/>
    </row>
    <row r="78" spans="1:24" ht="42.75" x14ac:dyDescent="0.25">
      <c r="A78" s="17" t="s">
        <v>503</v>
      </c>
      <c r="B78" s="17" t="s">
        <v>433</v>
      </c>
      <c r="C78" s="17" t="s">
        <v>434</v>
      </c>
      <c r="D78" s="18">
        <v>3</v>
      </c>
      <c r="E78" s="17" t="str">
        <f>B78&amp;" Mastery "&amp;INDEX(Tiers!$B$2:$B$6,MATCH(D78,Tiers!$A$2:$A$6,0))</f>
        <v>Air Mastery 350</v>
      </c>
      <c r="F78" s="19" t="s">
        <v>504</v>
      </c>
      <c r="G78" s="17" t="s">
        <v>403</v>
      </c>
      <c r="H78" s="17" t="s">
        <v>505</v>
      </c>
      <c r="I78" s="17" t="s">
        <v>26</v>
      </c>
      <c r="J78" s="20" t="s">
        <v>506</v>
      </c>
      <c r="K78" s="17" t="s">
        <v>437</v>
      </c>
      <c r="L78" s="17" t="s">
        <v>507</v>
      </c>
      <c r="M78" s="19" t="s">
        <v>50</v>
      </c>
      <c r="N78" s="17" t="s">
        <v>508</v>
      </c>
      <c r="O78" s="21">
        <v>16</v>
      </c>
      <c r="P78" s="21">
        <v>15</v>
      </c>
      <c r="Q78" s="21">
        <v>0.8</v>
      </c>
      <c r="R78" s="21">
        <v>100</v>
      </c>
      <c r="S78" s="17" t="s">
        <v>491</v>
      </c>
      <c r="T78" s="17"/>
      <c r="U78" s="17" t="s">
        <v>985</v>
      </c>
      <c r="V78" s="17"/>
      <c r="W78" s="17"/>
      <c r="X78" s="17"/>
    </row>
    <row r="79" spans="1:24" ht="42.75" x14ac:dyDescent="0.25">
      <c r="A79" s="17" t="s">
        <v>509</v>
      </c>
      <c r="B79" s="17" t="s">
        <v>433</v>
      </c>
      <c r="C79" s="17" t="s">
        <v>450</v>
      </c>
      <c r="D79" s="18">
        <v>3</v>
      </c>
      <c r="E79" s="17" t="str">
        <f>B79&amp;" Mastery "&amp;INDEX(Tiers!$B$2:$B$6,MATCH(D79,Tiers!$A$2:$A$6,0))</f>
        <v>Air Mastery 350</v>
      </c>
      <c r="F79" s="19" t="s">
        <v>510</v>
      </c>
      <c r="G79" s="17" t="s">
        <v>482</v>
      </c>
      <c r="H79" s="17" t="s">
        <v>477</v>
      </c>
      <c r="I79" s="17" t="s">
        <v>26</v>
      </c>
      <c r="J79" s="20" t="s">
        <v>511</v>
      </c>
      <c r="K79" s="17" t="s">
        <v>437</v>
      </c>
      <c r="L79" s="17" t="s">
        <v>512</v>
      </c>
      <c r="M79" s="19" t="s">
        <v>58</v>
      </c>
      <c r="N79" s="17" t="s">
        <v>513</v>
      </c>
      <c r="O79" s="21">
        <v>15</v>
      </c>
      <c r="P79" s="21">
        <v>15</v>
      </c>
      <c r="Q79" s="21">
        <v>0.8</v>
      </c>
      <c r="R79" s="21">
        <v>100</v>
      </c>
      <c r="S79" s="17" t="s">
        <v>491</v>
      </c>
      <c r="T79" s="17"/>
      <c r="U79" s="17" t="s">
        <v>985</v>
      </c>
      <c r="V79" s="17"/>
      <c r="W79" s="17"/>
      <c r="X79" s="17"/>
    </row>
    <row r="80" spans="1:24" ht="42.75" x14ac:dyDescent="0.25">
      <c r="A80" s="17" t="s">
        <v>514</v>
      </c>
      <c r="B80" s="17" t="s">
        <v>433</v>
      </c>
      <c r="C80" s="17" t="s">
        <v>434</v>
      </c>
      <c r="D80" s="18">
        <v>4</v>
      </c>
      <c r="E80" s="17" t="str">
        <f>B80&amp;" Mastery "&amp;INDEX(Tiers!$B$2:$B$6,MATCH(D80,Tiers!$A$2:$A$6,0))</f>
        <v>Air Mastery 600</v>
      </c>
      <c r="F80" s="19" t="s">
        <v>515</v>
      </c>
      <c r="G80" s="17" t="s">
        <v>516</v>
      </c>
      <c r="H80" s="17" t="s">
        <v>487</v>
      </c>
      <c r="I80" s="17" t="s">
        <v>26</v>
      </c>
      <c r="J80" s="20" t="s">
        <v>517</v>
      </c>
      <c r="K80" s="17" t="s">
        <v>437</v>
      </c>
      <c r="L80" s="17" t="s">
        <v>518</v>
      </c>
      <c r="M80" s="19" t="s">
        <v>58</v>
      </c>
      <c r="N80" s="17" t="s">
        <v>519</v>
      </c>
      <c r="O80" s="21">
        <v>40</v>
      </c>
      <c r="P80" s="21">
        <v>25</v>
      </c>
      <c r="Q80" s="21">
        <v>2</v>
      </c>
      <c r="R80" s="21">
        <v>150</v>
      </c>
      <c r="S80" s="17" t="s">
        <v>520</v>
      </c>
      <c r="T80" s="17"/>
      <c r="U80" s="17" t="s">
        <v>985</v>
      </c>
      <c r="V80" s="17"/>
      <c r="W80" s="17"/>
      <c r="X80" s="17"/>
    </row>
    <row r="81" spans="1:24" ht="42.75" x14ac:dyDescent="0.25">
      <c r="A81" s="17" t="s">
        <v>521</v>
      </c>
      <c r="B81" s="17" t="s">
        <v>433</v>
      </c>
      <c r="C81" s="17" t="s">
        <v>442</v>
      </c>
      <c r="D81" s="18">
        <v>4</v>
      </c>
      <c r="E81" s="17" t="str">
        <f>B81&amp;" Mastery "&amp;INDEX(Tiers!$B$2:$B$6,MATCH(D81,Tiers!$A$2:$A$6,0))</f>
        <v>Air Mastery 600</v>
      </c>
      <c r="F81" s="19" t="s">
        <v>522</v>
      </c>
      <c r="G81" s="17" t="s">
        <v>403</v>
      </c>
      <c r="H81" s="17" t="s">
        <v>498</v>
      </c>
      <c r="I81" s="17" t="s">
        <v>26</v>
      </c>
      <c r="J81" s="20" t="s">
        <v>523</v>
      </c>
      <c r="K81" s="17" t="s">
        <v>437</v>
      </c>
      <c r="L81" s="17" t="s">
        <v>524</v>
      </c>
      <c r="M81" s="19" t="s">
        <v>30</v>
      </c>
      <c r="N81" s="17" t="s">
        <v>525</v>
      </c>
      <c r="O81" s="21">
        <v>30</v>
      </c>
      <c r="P81" s="21">
        <v>25</v>
      </c>
      <c r="Q81" s="21">
        <v>2</v>
      </c>
      <c r="R81" s="21">
        <v>150</v>
      </c>
      <c r="S81" s="17" t="s">
        <v>520</v>
      </c>
      <c r="T81" s="17"/>
      <c r="U81" s="17" t="s">
        <v>985</v>
      </c>
      <c r="V81" s="17"/>
      <c r="W81" s="17"/>
      <c r="X81" s="17"/>
    </row>
    <row r="82" spans="1:24" ht="42.75" x14ac:dyDescent="0.25">
      <c r="A82" s="17" t="s">
        <v>526</v>
      </c>
      <c r="B82" s="17" t="s">
        <v>433</v>
      </c>
      <c r="C82" s="17" t="s">
        <v>434</v>
      </c>
      <c r="D82" s="18">
        <v>4</v>
      </c>
      <c r="E82" s="17" t="str">
        <f>B82&amp;" Mastery "&amp;INDEX(Tiers!$B$2:$B$6,MATCH(D82,Tiers!$A$2:$A$6,0))</f>
        <v>Air Mastery 600</v>
      </c>
      <c r="F82" s="19" t="s">
        <v>527</v>
      </c>
      <c r="G82" s="17" t="s">
        <v>528</v>
      </c>
      <c r="H82" s="17" t="s">
        <v>529</v>
      </c>
      <c r="I82" s="17" t="s">
        <v>26</v>
      </c>
      <c r="J82" s="20" t="s">
        <v>530</v>
      </c>
      <c r="K82" s="17" t="s">
        <v>437</v>
      </c>
      <c r="L82" s="17" t="s">
        <v>531</v>
      </c>
      <c r="M82" s="19" t="s">
        <v>58</v>
      </c>
      <c r="N82" s="17" t="s">
        <v>400</v>
      </c>
      <c r="O82" s="21">
        <v>35</v>
      </c>
      <c r="P82" s="21">
        <v>25</v>
      </c>
      <c r="Q82" s="21">
        <v>2</v>
      </c>
      <c r="R82" s="21">
        <v>150</v>
      </c>
      <c r="S82" s="17" t="s">
        <v>520</v>
      </c>
      <c r="T82" s="17"/>
      <c r="U82" s="17" t="s">
        <v>985</v>
      </c>
      <c r="V82" s="17"/>
      <c r="W82" s="17"/>
      <c r="X82" s="17"/>
    </row>
    <row r="83" spans="1:24" ht="42.75" x14ac:dyDescent="0.25">
      <c r="A83" s="17" t="s">
        <v>532</v>
      </c>
      <c r="B83" s="17" t="s">
        <v>433</v>
      </c>
      <c r="C83" s="17" t="s">
        <v>442</v>
      </c>
      <c r="D83" s="18">
        <v>4</v>
      </c>
      <c r="E83" s="17" t="str">
        <f>B83&amp;" Mastery "&amp;INDEX(Tiers!$B$2:$B$6,MATCH(D83,Tiers!$A$2:$A$6,0))</f>
        <v>Air Mastery 600</v>
      </c>
      <c r="F83" s="19" t="s">
        <v>533</v>
      </c>
      <c r="G83" s="17" t="s">
        <v>516</v>
      </c>
      <c r="H83" s="17" t="s">
        <v>498</v>
      </c>
      <c r="I83" s="17" t="s">
        <v>26</v>
      </c>
      <c r="J83" s="20" t="s">
        <v>534</v>
      </c>
      <c r="K83" s="17" t="s">
        <v>437</v>
      </c>
      <c r="L83" s="17" t="s">
        <v>535</v>
      </c>
      <c r="M83" s="19" t="s">
        <v>50</v>
      </c>
      <c r="N83" s="17" t="s">
        <v>206</v>
      </c>
      <c r="O83" s="21">
        <v>35</v>
      </c>
      <c r="P83" s="21">
        <v>25</v>
      </c>
      <c r="Q83" s="21">
        <v>2</v>
      </c>
      <c r="R83" s="21">
        <v>150</v>
      </c>
      <c r="S83" s="17" t="s">
        <v>520</v>
      </c>
      <c r="T83" s="17"/>
      <c r="U83" s="17" t="s">
        <v>985</v>
      </c>
      <c r="V83" s="17"/>
      <c r="W83" s="17"/>
      <c r="X83" s="17"/>
    </row>
    <row r="84" spans="1:24" ht="42.75" x14ac:dyDescent="0.25">
      <c r="A84" s="17" t="s">
        <v>536</v>
      </c>
      <c r="B84" s="17" t="s">
        <v>433</v>
      </c>
      <c r="C84" s="17" t="s">
        <v>450</v>
      </c>
      <c r="D84" s="18">
        <v>4</v>
      </c>
      <c r="E84" s="17" t="str">
        <f>B84&amp;" Mastery "&amp;INDEX(Tiers!$B$2:$B$6,MATCH(D84,Tiers!$A$2:$A$6,0))</f>
        <v>Air Mastery 600</v>
      </c>
      <c r="F84" s="19" t="s">
        <v>537</v>
      </c>
      <c r="G84" s="17" t="s">
        <v>55</v>
      </c>
      <c r="H84" s="17" t="s">
        <v>510</v>
      </c>
      <c r="I84" s="17" t="s">
        <v>26</v>
      </c>
      <c r="J84" s="20" t="s">
        <v>538</v>
      </c>
      <c r="K84" s="17" t="s">
        <v>453</v>
      </c>
      <c r="L84" s="17" t="s">
        <v>539</v>
      </c>
      <c r="M84" s="19" t="s">
        <v>50</v>
      </c>
      <c r="N84" s="17" t="s">
        <v>51</v>
      </c>
      <c r="O84" s="21">
        <v>40</v>
      </c>
      <c r="P84" s="21">
        <v>25</v>
      </c>
      <c r="Q84" s="21">
        <v>2</v>
      </c>
      <c r="R84" s="21">
        <v>150</v>
      </c>
      <c r="S84" s="17" t="s">
        <v>520</v>
      </c>
      <c r="T84" s="17"/>
      <c r="U84" s="17" t="s">
        <v>985</v>
      </c>
      <c r="V84" s="17"/>
      <c r="W84" s="17"/>
      <c r="X84" s="17"/>
    </row>
    <row r="85" spans="1:24" ht="42.75" x14ac:dyDescent="0.25">
      <c r="A85" s="17" t="s">
        <v>540</v>
      </c>
      <c r="B85" s="17" t="s">
        <v>433</v>
      </c>
      <c r="C85" s="17" t="s">
        <v>450</v>
      </c>
      <c r="D85" s="18">
        <v>5</v>
      </c>
      <c r="E85" s="17" t="str">
        <f>B85&amp;" Mastery "&amp;INDEX(Tiers!$B$2:$B$6,MATCH(D85,Tiers!$A$2:$A$6,0))</f>
        <v>Air Mastery 900</v>
      </c>
      <c r="F85" s="19" t="s">
        <v>541</v>
      </c>
      <c r="G85" s="17" t="s">
        <v>542</v>
      </c>
      <c r="H85" s="17" t="s">
        <v>537</v>
      </c>
      <c r="I85" s="17" t="s">
        <v>26</v>
      </c>
      <c r="J85" s="20" t="s">
        <v>543</v>
      </c>
      <c r="K85" s="17" t="s">
        <v>453</v>
      </c>
      <c r="L85" s="17" t="s">
        <v>544</v>
      </c>
      <c r="M85" s="19" t="s">
        <v>50</v>
      </c>
      <c r="N85" s="17" t="s">
        <v>545</v>
      </c>
      <c r="O85" s="21">
        <v>90</v>
      </c>
      <c r="P85" s="21">
        <v>50</v>
      </c>
      <c r="Q85" s="21">
        <v>10</v>
      </c>
      <c r="R85" s="21">
        <v>200</v>
      </c>
      <c r="S85" s="17" t="s">
        <v>546</v>
      </c>
      <c r="T85" s="17"/>
      <c r="U85" s="17" t="s">
        <v>985</v>
      </c>
      <c r="V85" s="17"/>
      <c r="W85" s="17"/>
      <c r="X85" s="17"/>
    </row>
    <row r="86" spans="1:24" ht="42.75" x14ac:dyDescent="0.25">
      <c r="A86" s="17" t="s">
        <v>547</v>
      </c>
      <c r="B86" s="17" t="s">
        <v>433</v>
      </c>
      <c r="C86" s="17" t="s">
        <v>434</v>
      </c>
      <c r="D86" s="18">
        <v>5</v>
      </c>
      <c r="E86" s="17" t="str">
        <f>B86&amp;" Mastery "&amp;INDEX(Tiers!$B$2:$B$6,MATCH(D86,Tiers!$A$2:$A$6,0))</f>
        <v>Air Mastery 900</v>
      </c>
      <c r="F86" s="19" t="s">
        <v>548</v>
      </c>
      <c r="G86" s="17" t="s">
        <v>516</v>
      </c>
      <c r="H86" s="17" t="s">
        <v>549</v>
      </c>
      <c r="I86" s="17" t="s">
        <v>26</v>
      </c>
      <c r="J86" s="20" t="s">
        <v>550</v>
      </c>
      <c r="K86" s="17" t="s">
        <v>437</v>
      </c>
      <c r="L86" s="17" t="s">
        <v>551</v>
      </c>
      <c r="M86" s="19" t="s">
        <v>58</v>
      </c>
      <c r="N86" s="17" t="s">
        <v>552</v>
      </c>
      <c r="O86" s="21">
        <v>120</v>
      </c>
      <c r="P86" s="21">
        <v>50</v>
      </c>
      <c r="Q86" s="21">
        <v>10</v>
      </c>
      <c r="R86" s="21">
        <v>200</v>
      </c>
      <c r="S86" s="17" t="s">
        <v>546</v>
      </c>
      <c r="T86" s="17"/>
      <c r="U86" s="17" t="s">
        <v>985</v>
      </c>
      <c r="V86" s="17"/>
      <c r="W86" s="17"/>
      <c r="X86" s="17"/>
    </row>
    <row r="87" spans="1:24" ht="42.75" x14ac:dyDescent="0.25">
      <c r="A87" s="22" t="s">
        <v>553</v>
      </c>
      <c r="B87" s="22" t="s">
        <v>554</v>
      </c>
      <c r="C87" s="22" t="s">
        <v>555</v>
      </c>
      <c r="D87" s="23">
        <v>1</v>
      </c>
      <c r="E87" s="22" t="str">
        <f>B87&amp;" Mastery "&amp;INDEX(Tiers!$B$2:$B$6,MATCH(D87,Tiers!$A$2:$A$6,0))</f>
        <v>Sword Mastery 0</v>
      </c>
      <c r="F87" s="24" t="s">
        <v>556</v>
      </c>
      <c r="G87" s="22" t="s">
        <v>24</v>
      </c>
      <c r="H87" s="22" t="s">
        <v>25</v>
      </c>
      <c r="I87" s="22" t="s">
        <v>554</v>
      </c>
      <c r="J87" s="25" t="s">
        <v>557</v>
      </c>
      <c r="K87" s="22" t="s">
        <v>558</v>
      </c>
      <c r="L87" s="22" t="s">
        <v>559</v>
      </c>
      <c r="M87" s="24" t="s">
        <v>30</v>
      </c>
      <c r="N87" s="22" t="s">
        <v>560</v>
      </c>
      <c r="O87" s="26">
        <v>2</v>
      </c>
      <c r="P87" s="26">
        <v>5</v>
      </c>
      <c r="Q87" s="26">
        <v>0.2</v>
      </c>
      <c r="R87" s="26">
        <v>50</v>
      </c>
      <c r="S87" s="22" t="s">
        <v>561</v>
      </c>
      <c r="T87" s="22"/>
      <c r="U87" s="22" t="s">
        <v>967</v>
      </c>
      <c r="V87" s="22">
        <v>1</v>
      </c>
      <c r="W87" s="22" t="s">
        <v>1010</v>
      </c>
      <c r="X87" s="22" t="s">
        <v>1011</v>
      </c>
    </row>
    <row r="88" spans="1:24" ht="42.75" x14ac:dyDescent="0.25">
      <c r="A88" s="22" t="s">
        <v>562</v>
      </c>
      <c r="B88" s="22" t="s">
        <v>554</v>
      </c>
      <c r="C88" s="22" t="s">
        <v>555</v>
      </c>
      <c r="D88" s="23">
        <v>1</v>
      </c>
      <c r="E88" s="22" t="str">
        <f>B88&amp;" Mastery "&amp;INDEX(Tiers!$B$2:$B$6,MATCH(D88,Tiers!$A$2:$A$6,0))</f>
        <v>Sword Mastery 0</v>
      </c>
      <c r="F88" s="24" t="s">
        <v>563</v>
      </c>
      <c r="G88" s="22" t="s">
        <v>24</v>
      </c>
      <c r="H88" s="22" t="s">
        <v>25</v>
      </c>
      <c r="I88" s="22" t="s">
        <v>554</v>
      </c>
      <c r="J88" s="25" t="s">
        <v>564</v>
      </c>
      <c r="K88" s="22" t="s">
        <v>558</v>
      </c>
      <c r="L88" s="22" t="s">
        <v>565</v>
      </c>
      <c r="M88" s="24" t="s">
        <v>43</v>
      </c>
      <c r="N88" s="22" t="s">
        <v>566</v>
      </c>
      <c r="O88" s="26">
        <v>4</v>
      </c>
      <c r="P88" s="26">
        <v>5</v>
      </c>
      <c r="Q88" s="26">
        <v>0.2</v>
      </c>
      <c r="R88" s="26">
        <v>50</v>
      </c>
      <c r="S88" s="22" t="s">
        <v>561</v>
      </c>
      <c r="T88" s="22"/>
      <c r="U88" s="22" t="s">
        <v>985</v>
      </c>
      <c r="V88" s="22"/>
      <c r="W88" s="22"/>
      <c r="X88" s="22"/>
    </row>
    <row r="89" spans="1:24" ht="42.75" x14ac:dyDescent="0.25">
      <c r="A89" s="22" t="s">
        <v>567</v>
      </c>
      <c r="B89" s="22" t="s">
        <v>554</v>
      </c>
      <c r="C89" s="22" t="s">
        <v>568</v>
      </c>
      <c r="D89" s="23">
        <v>1</v>
      </c>
      <c r="E89" s="22" t="str">
        <f>B89&amp;" Mastery "&amp;INDEX(Tiers!$B$2:$B$6,MATCH(D89,Tiers!$A$2:$A$6,0))</f>
        <v>Sword Mastery 0</v>
      </c>
      <c r="F89" s="24" t="s">
        <v>569</v>
      </c>
      <c r="G89" s="22" t="s">
        <v>570</v>
      </c>
      <c r="H89" s="22" t="s">
        <v>25</v>
      </c>
      <c r="I89" s="22" t="s">
        <v>554</v>
      </c>
      <c r="J89" s="25" t="s">
        <v>571</v>
      </c>
      <c r="K89" s="22" t="s">
        <v>572</v>
      </c>
      <c r="L89" s="22" t="s">
        <v>573</v>
      </c>
      <c r="M89" s="24" t="s">
        <v>50</v>
      </c>
      <c r="N89" s="22" t="s">
        <v>574</v>
      </c>
      <c r="O89" s="26">
        <v>8</v>
      </c>
      <c r="P89" s="26">
        <v>5</v>
      </c>
      <c r="Q89" s="26">
        <v>0.2</v>
      </c>
      <c r="R89" s="26">
        <v>50</v>
      </c>
      <c r="S89" s="22" t="s">
        <v>561</v>
      </c>
      <c r="T89" s="22"/>
      <c r="U89" s="22" t="s">
        <v>985</v>
      </c>
      <c r="V89" s="22"/>
      <c r="W89" s="22"/>
      <c r="X89" s="22"/>
    </row>
    <row r="90" spans="1:24" ht="42.75" x14ac:dyDescent="0.25">
      <c r="A90" s="22" t="s">
        <v>575</v>
      </c>
      <c r="B90" s="22" t="s">
        <v>554</v>
      </c>
      <c r="C90" s="22" t="s">
        <v>576</v>
      </c>
      <c r="D90" s="23">
        <v>1</v>
      </c>
      <c r="E90" s="22" t="str">
        <f>B90&amp;" Mastery "&amp;INDEX(Tiers!$B$2:$B$6,MATCH(D90,Tiers!$A$2:$A$6,0))</f>
        <v>Sword Mastery 0</v>
      </c>
      <c r="F90" s="24" t="s">
        <v>577</v>
      </c>
      <c r="G90" s="22" t="s">
        <v>482</v>
      </c>
      <c r="H90" s="22" t="s">
        <v>25</v>
      </c>
      <c r="I90" s="22" t="s">
        <v>554</v>
      </c>
      <c r="J90" s="25" t="s">
        <v>578</v>
      </c>
      <c r="K90" s="22" t="s">
        <v>558</v>
      </c>
      <c r="L90" s="22" t="s">
        <v>579</v>
      </c>
      <c r="M90" s="24" t="s">
        <v>30</v>
      </c>
      <c r="N90" s="22" t="s">
        <v>580</v>
      </c>
      <c r="O90" s="26">
        <v>8</v>
      </c>
      <c r="P90" s="26">
        <v>5</v>
      </c>
      <c r="Q90" s="26">
        <v>0.2</v>
      </c>
      <c r="R90" s="26">
        <v>50</v>
      </c>
      <c r="S90" s="22" t="s">
        <v>561</v>
      </c>
      <c r="T90" s="22"/>
      <c r="U90" s="22" t="s">
        <v>970</v>
      </c>
      <c r="V90" s="22" t="s">
        <v>975</v>
      </c>
      <c r="W90" s="22"/>
      <c r="X90" s="22" t="s">
        <v>1012</v>
      </c>
    </row>
    <row r="91" spans="1:24" ht="42.75" x14ac:dyDescent="0.25">
      <c r="A91" s="22" t="s">
        <v>581</v>
      </c>
      <c r="B91" s="22" t="s">
        <v>554</v>
      </c>
      <c r="C91" s="22" t="s">
        <v>555</v>
      </c>
      <c r="D91" s="23">
        <v>2</v>
      </c>
      <c r="E91" s="22" t="str">
        <f>B91&amp;" Mastery "&amp;INDEX(Tiers!$B$2:$B$6,MATCH(D91,Tiers!$A$2:$A$6,0))</f>
        <v>Sword Mastery 150</v>
      </c>
      <c r="F91" s="24" t="s">
        <v>582</v>
      </c>
      <c r="G91" s="22" t="s">
        <v>24</v>
      </c>
      <c r="H91" s="22" t="s">
        <v>556</v>
      </c>
      <c r="I91" s="22" t="s">
        <v>554</v>
      </c>
      <c r="J91" s="25" t="s">
        <v>583</v>
      </c>
      <c r="K91" s="22" t="s">
        <v>558</v>
      </c>
      <c r="L91" s="22" t="s">
        <v>584</v>
      </c>
      <c r="M91" s="24" t="s">
        <v>30</v>
      </c>
      <c r="N91" s="22" t="s">
        <v>560</v>
      </c>
      <c r="O91" s="26">
        <v>5</v>
      </c>
      <c r="P91" s="26">
        <v>10</v>
      </c>
      <c r="Q91" s="26">
        <v>0.3</v>
      </c>
      <c r="R91" s="26">
        <v>70</v>
      </c>
      <c r="S91" s="22" t="s">
        <v>585</v>
      </c>
      <c r="T91" s="22"/>
      <c r="U91" s="22" t="s">
        <v>985</v>
      </c>
      <c r="V91" s="22"/>
      <c r="W91" s="22"/>
      <c r="X91" s="22"/>
    </row>
    <row r="92" spans="1:24" ht="42.75" x14ac:dyDescent="0.25">
      <c r="A92" s="22" t="s">
        <v>586</v>
      </c>
      <c r="B92" s="22" t="s">
        <v>554</v>
      </c>
      <c r="C92" s="22" t="s">
        <v>568</v>
      </c>
      <c r="D92" s="23">
        <v>2</v>
      </c>
      <c r="E92" s="22" t="str">
        <f>B92&amp;" Mastery "&amp;INDEX(Tiers!$B$2:$B$6,MATCH(D92,Tiers!$A$2:$A$6,0))</f>
        <v>Sword Mastery 150</v>
      </c>
      <c r="F92" s="24" t="s">
        <v>587</v>
      </c>
      <c r="G92" s="22" t="s">
        <v>141</v>
      </c>
      <c r="H92" s="22" t="s">
        <v>569</v>
      </c>
      <c r="I92" s="22" t="s">
        <v>554</v>
      </c>
      <c r="J92" s="25" t="s">
        <v>588</v>
      </c>
      <c r="K92" s="22" t="s">
        <v>558</v>
      </c>
      <c r="L92" s="22" t="s">
        <v>589</v>
      </c>
      <c r="M92" s="24" t="s">
        <v>50</v>
      </c>
      <c r="N92" s="22" t="s">
        <v>590</v>
      </c>
      <c r="O92" s="26">
        <v>10</v>
      </c>
      <c r="P92" s="26">
        <v>10</v>
      </c>
      <c r="Q92" s="26">
        <v>0.6</v>
      </c>
      <c r="R92" s="26">
        <v>70</v>
      </c>
      <c r="S92" s="22" t="s">
        <v>591</v>
      </c>
      <c r="T92" s="22"/>
      <c r="U92" s="22" t="s">
        <v>985</v>
      </c>
      <c r="V92" s="22"/>
      <c r="W92" s="22"/>
      <c r="X92" s="22"/>
    </row>
    <row r="93" spans="1:24" ht="42.75" x14ac:dyDescent="0.25">
      <c r="A93" s="22" t="s">
        <v>592</v>
      </c>
      <c r="B93" s="22" t="s">
        <v>554</v>
      </c>
      <c r="C93" s="22" t="s">
        <v>555</v>
      </c>
      <c r="D93" s="23">
        <v>2</v>
      </c>
      <c r="E93" s="22" t="str">
        <f>B93&amp;" Mastery "&amp;INDEX(Tiers!$B$2:$B$6,MATCH(D93,Tiers!$A$2:$A$6,0))</f>
        <v>Sword Mastery 150</v>
      </c>
      <c r="F93" s="24" t="s">
        <v>593</v>
      </c>
      <c r="G93" s="22" t="s">
        <v>594</v>
      </c>
      <c r="H93" s="22" t="s">
        <v>556</v>
      </c>
      <c r="I93" s="22" t="s">
        <v>554</v>
      </c>
      <c r="J93" s="25" t="s">
        <v>595</v>
      </c>
      <c r="K93" s="22" t="s">
        <v>558</v>
      </c>
      <c r="L93" s="22" t="s">
        <v>596</v>
      </c>
      <c r="M93" s="24" t="s">
        <v>30</v>
      </c>
      <c r="N93" s="22" t="s">
        <v>560</v>
      </c>
      <c r="O93" s="26">
        <v>8</v>
      </c>
      <c r="P93" s="26">
        <v>10</v>
      </c>
      <c r="Q93" s="26">
        <v>0.3</v>
      </c>
      <c r="R93" s="26">
        <v>70</v>
      </c>
      <c r="S93" s="22" t="s">
        <v>585</v>
      </c>
      <c r="T93" s="22"/>
      <c r="U93" s="22" t="s">
        <v>985</v>
      </c>
      <c r="V93" s="22"/>
      <c r="W93" s="22"/>
      <c r="X93" s="22"/>
    </row>
    <row r="94" spans="1:24" ht="42.75" x14ac:dyDescent="0.25">
      <c r="A94" s="22" t="s">
        <v>597</v>
      </c>
      <c r="B94" s="22" t="s">
        <v>554</v>
      </c>
      <c r="C94" s="22" t="s">
        <v>555</v>
      </c>
      <c r="D94" s="23">
        <v>2</v>
      </c>
      <c r="E94" s="22" t="str">
        <f>B94&amp;" Mastery "&amp;INDEX(Tiers!$B$2:$B$6,MATCH(D94,Tiers!$A$2:$A$6,0))</f>
        <v>Sword Mastery 150</v>
      </c>
      <c r="F94" s="24" t="s">
        <v>598</v>
      </c>
      <c r="G94" s="22" t="s">
        <v>24</v>
      </c>
      <c r="H94" s="22" t="s">
        <v>563</v>
      </c>
      <c r="I94" s="22" t="s">
        <v>554</v>
      </c>
      <c r="J94" s="25" t="s">
        <v>599</v>
      </c>
      <c r="K94" s="22" t="s">
        <v>558</v>
      </c>
      <c r="L94" s="22" t="s">
        <v>600</v>
      </c>
      <c r="M94" s="24" t="s">
        <v>43</v>
      </c>
      <c r="N94" s="22" t="s">
        <v>601</v>
      </c>
      <c r="O94" s="26">
        <v>8</v>
      </c>
      <c r="P94" s="26">
        <v>10</v>
      </c>
      <c r="Q94" s="26">
        <v>0.3</v>
      </c>
      <c r="R94" s="26">
        <v>70</v>
      </c>
      <c r="S94" s="22" t="s">
        <v>585</v>
      </c>
      <c r="T94" s="22"/>
      <c r="U94" s="22" t="s">
        <v>985</v>
      </c>
      <c r="V94" s="22"/>
      <c r="W94" s="22"/>
      <c r="X94" s="22"/>
    </row>
    <row r="95" spans="1:24" ht="42.75" x14ac:dyDescent="0.25">
      <c r="A95" s="22" t="s">
        <v>602</v>
      </c>
      <c r="B95" s="22" t="s">
        <v>554</v>
      </c>
      <c r="C95" s="22" t="s">
        <v>576</v>
      </c>
      <c r="D95" s="23">
        <v>2</v>
      </c>
      <c r="E95" s="22" t="str">
        <f>B95&amp;" Mastery "&amp;INDEX(Tiers!$B$2:$B$6,MATCH(D95,Tiers!$A$2:$A$6,0))</f>
        <v>Sword Mastery 150</v>
      </c>
      <c r="F95" s="24" t="s">
        <v>603</v>
      </c>
      <c r="G95" s="22" t="s">
        <v>102</v>
      </c>
      <c r="H95" s="22" t="s">
        <v>577</v>
      </c>
      <c r="I95" s="22" t="s">
        <v>554</v>
      </c>
      <c r="J95" s="25" t="s">
        <v>604</v>
      </c>
      <c r="K95" s="22" t="s">
        <v>605</v>
      </c>
      <c r="L95" s="22" t="s">
        <v>606</v>
      </c>
      <c r="M95" s="24" t="s">
        <v>30</v>
      </c>
      <c r="N95" s="22" t="s">
        <v>560</v>
      </c>
      <c r="O95" s="26">
        <v>12</v>
      </c>
      <c r="P95" s="26">
        <v>10</v>
      </c>
      <c r="Q95" s="26">
        <v>0.6</v>
      </c>
      <c r="R95" s="26">
        <v>70</v>
      </c>
      <c r="S95" s="22" t="s">
        <v>591</v>
      </c>
      <c r="T95" s="22"/>
      <c r="U95" s="22" t="s">
        <v>985</v>
      </c>
      <c r="V95" s="22"/>
      <c r="W95" s="22"/>
      <c r="X95" s="22"/>
    </row>
    <row r="96" spans="1:24" ht="42.75" x14ac:dyDescent="0.25">
      <c r="A96" s="22" t="s">
        <v>607</v>
      </c>
      <c r="B96" s="22" t="s">
        <v>554</v>
      </c>
      <c r="C96" s="22" t="s">
        <v>555</v>
      </c>
      <c r="D96" s="23">
        <v>3</v>
      </c>
      <c r="E96" s="22" t="str">
        <f>B96&amp;" Mastery "&amp;INDEX(Tiers!$B$2:$B$6,MATCH(D96,Tiers!$A$2:$A$6,0))</f>
        <v>Sword Mastery 350</v>
      </c>
      <c r="F96" s="24" t="s">
        <v>608</v>
      </c>
      <c r="G96" s="22" t="s">
        <v>24</v>
      </c>
      <c r="H96" s="22" t="s">
        <v>582</v>
      </c>
      <c r="I96" s="22" t="s">
        <v>554</v>
      </c>
      <c r="J96" s="25" t="s">
        <v>609</v>
      </c>
      <c r="K96" s="22" t="s">
        <v>558</v>
      </c>
      <c r="L96" s="22" t="s">
        <v>610</v>
      </c>
      <c r="M96" s="24" t="s">
        <v>30</v>
      </c>
      <c r="N96" s="22" t="s">
        <v>611</v>
      </c>
      <c r="O96" s="26">
        <v>12</v>
      </c>
      <c r="P96" s="26">
        <v>15</v>
      </c>
      <c r="Q96" s="26">
        <v>0.8</v>
      </c>
      <c r="R96" s="26">
        <v>100</v>
      </c>
      <c r="S96" s="22" t="s">
        <v>612</v>
      </c>
      <c r="T96" s="22"/>
      <c r="U96" s="22" t="s">
        <v>985</v>
      </c>
      <c r="V96" s="22"/>
      <c r="W96" s="22"/>
      <c r="X96" s="22"/>
    </row>
    <row r="97" spans="1:24" ht="42.75" x14ac:dyDescent="0.25">
      <c r="A97" s="22" t="s">
        <v>613</v>
      </c>
      <c r="B97" s="22" t="s">
        <v>554</v>
      </c>
      <c r="C97" s="22" t="s">
        <v>568</v>
      </c>
      <c r="D97" s="23">
        <v>3</v>
      </c>
      <c r="E97" s="22" t="str">
        <f>B97&amp;" Mastery "&amp;INDEX(Tiers!$B$2:$B$6,MATCH(D97,Tiers!$A$2:$A$6,0))</f>
        <v>Sword Mastery 350</v>
      </c>
      <c r="F97" s="24" t="s">
        <v>614</v>
      </c>
      <c r="G97" s="22" t="s">
        <v>102</v>
      </c>
      <c r="H97" s="22" t="s">
        <v>587</v>
      </c>
      <c r="I97" s="22" t="s">
        <v>554</v>
      </c>
      <c r="J97" s="25" t="s">
        <v>615</v>
      </c>
      <c r="K97" s="22" t="s">
        <v>605</v>
      </c>
      <c r="L97" s="22" t="s">
        <v>616</v>
      </c>
      <c r="M97" s="24" t="s">
        <v>30</v>
      </c>
      <c r="N97" s="22" t="s">
        <v>560</v>
      </c>
      <c r="O97" s="26">
        <v>18</v>
      </c>
      <c r="P97" s="26">
        <v>15</v>
      </c>
      <c r="Q97" s="26">
        <v>0.8</v>
      </c>
      <c r="R97" s="26">
        <v>100</v>
      </c>
      <c r="S97" s="22" t="s">
        <v>612</v>
      </c>
      <c r="T97" s="22"/>
      <c r="U97" s="22" t="s">
        <v>985</v>
      </c>
      <c r="V97" s="22"/>
      <c r="W97" s="22"/>
      <c r="X97" s="22"/>
    </row>
    <row r="98" spans="1:24" ht="42.75" x14ac:dyDescent="0.25">
      <c r="A98" s="22" t="s">
        <v>617</v>
      </c>
      <c r="B98" s="22" t="s">
        <v>554</v>
      </c>
      <c r="C98" s="22" t="s">
        <v>555</v>
      </c>
      <c r="D98" s="23">
        <v>3</v>
      </c>
      <c r="E98" s="22" t="str">
        <f>B98&amp;" Mastery "&amp;INDEX(Tiers!$B$2:$B$6,MATCH(D98,Tiers!$A$2:$A$6,0))</f>
        <v>Sword Mastery 350</v>
      </c>
      <c r="F98" s="24" t="s">
        <v>618</v>
      </c>
      <c r="G98" s="22" t="s">
        <v>128</v>
      </c>
      <c r="H98" s="22" t="s">
        <v>593</v>
      </c>
      <c r="I98" s="22" t="s">
        <v>554</v>
      </c>
      <c r="J98" s="25" t="s">
        <v>619</v>
      </c>
      <c r="K98" s="22" t="s">
        <v>558</v>
      </c>
      <c r="L98" s="22" t="s">
        <v>620</v>
      </c>
      <c r="M98" s="24" t="s">
        <v>30</v>
      </c>
      <c r="N98" s="22" t="s">
        <v>621</v>
      </c>
      <c r="O98" s="26">
        <v>15</v>
      </c>
      <c r="P98" s="26">
        <v>15</v>
      </c>
      <c r="Q98" s="26">
        <v>0.8</v>
      </c>
      <c r="R98" s="26">
        <v>100</v>
      </c>
      <c r="S98" s="22" t="s">
        <v>612</v>
      </c>
      <c r="T98" s="22"/>
      <c r="U98" s="22" t="s">
        <v>985</v>
      </c>
      <c r="V98" s="22"/>
      <c r="W98" s="22"/>
      <c r="X98" s="22"/>
    </row>
    <row r="99" spans="1:24" ht="42.75" x14ac:dyDescent="0.25">
      <c r="A99" s="22" t="s">
        <v>622</v>
      </c>
      <c r="B99" s="22" t="s">
        <v>554</v>
      </c>
      <c r="C99" s="22" t="s">
        <v>576</v>
      </c>
      <c r="D99" s="23">
        <v>3</v>
      </c>
      <c r="E99" s="22" t="str">
        <f>B99&amp;" Mastery "&amp;INDEX(Tiers!$B$2:$B$6,MATCH(D99,Tiers!$A$2:$A$6,0))</f>
        <v>Sword Mastery 350</v>
      </c>
      <c r="F99" s="24" t="s">
        <v>623</v>
      </c>
      <c r="G99" s="22" t="s">
        <v>482</v>
      </c>
      <c r="H99" s="22" t="s">
        <v>603</v>
      </c>
      <c r="I99" s="22" t="s">
        <v>554</v>
      </c>
      <c r="J99" s="25" t="s">
        <v>624</v>
      </c>
      <c r="K99" s="22" t="s">
        <v>558</v>
      </c>
      <c r="L99" s="22" t="s">
        <v>625</v>
      </c>
      <c r="M99" s="24" t="s">
        <v>58</v>
      </c>
      <c r="N99" s="22" t="s">
        <v>626</v>
      </c>
      <c r="O99" s="26">
        <v>14</v>
      </c>
      <c r="P99" s="26">
        <v>15</v>
      </c>
      <c r="Q99" s="26">
        <v>0.8</v>
      </c>
      <c r="R99" s="26">
        <v>100</v>
      </c>
      <c r="S99" s="22" t="s">
        <v>612</v>
      </c>
      <c r="T99" s="22"/>
      <c r="U99" s="22" t="s">
        <v>985</v>
      </c>
      <c r="V99" s="22"/>
      <c r="W99" s="22"/>
      <c r="X99" s="22"/>
    </row>
    <row r="100" spans="1:24" ht="42.75" x14ac:dyDescent="0.25">
      <c r="A100" s="22" t="s">
        <v>627</v>
      </c>
      <c r="B100" s="22" t="s">
        <v>554</v>
      </c>
      <c r="C100" s="22" t="s">
        <v>568</v>
      </c>
      <c r="D100" s="23">
        <v>3</v>
      </c>
      <c r="E100" s="22" t="str">
        <f>B100&amp;" Mastery "&amp;INDEX(Tiers!$B$2:$B$6,MATCH(D100,Tiers!$A$2:$A$6,0))</f>
        <v>Sword Mastery 350</v>
      </c>
      <c r="F100" s="24" t="s">
        <v>628</v>
      </c>
      <c r="G100" s="22" t="s">
        <v>47</v>
      </c>
      <c r="H100" s="22" t="s">
        <v>569</v>
      </c>
      <c r="I100" s="22" t="s">
        <v>554</v>
      </c>
      <c r="J100" s="25" t="s">
        <v>629</v>
      </c>
      <c r="K100" s="22" t="s">
        <v>630</v>
      </c>
      <c r="L100" s="22" t="s">
        <v>631</v>
      </c>
      <c r="M100" s="24" t="s">
        <v>50</v>
      </c>
      <c r="N100" s="22" t="s">
        <v>51</v>
      </c>
      <c r="O100" s="26">
        <v>25</v>
      </c>
      <c r="P100" s="26">
        <v>15</v>
      </c>
      <c r="Q100" s="26">
        <v>0.8</v>
      </c>
      <c r="R100" s="26">
        <v>100</v>
      </c>
      <c r="S100" s="22" t="s">
        <v>612</v>
      </c>
      <c r="T100" s="22"/>
      <c r="U100" s="22" t="s">
        <v>985</v>
      </c>
      <c r="V100" s="22"/>
      <c r="W100" s="22"/>
      <c r="X100" s="22"/>
    </row>
    <row r="101" spans="1:24" ht="42.75" x14ac:dyDescent="0.25">
      <c r="A101" s="22" t="s">
        <v>632</v>
      </c>
      <c r="B101" s="22" t="s">
        <v>554</v>
      </c>
      <c r="C101" s="22" t="s">
        <v>555</v>
      </c>
      <c r="D101" s="23">
        <v>4</v>
      </c>
      <c r="E101" s="22" t="str">
        <f>B101&amp;" Mastery "&amp;INDEX(Tiers!$B$2:$B$6,MATCH(D101,Tiers!$A$2:$A$6,0))</f>
        <v>Sword Mastery 600</v>
      </c>
      <c r="F101" s="24" t="s">
        <v>633</v>
      </c>
      <c r="G101" s="22" t="s">
        <v>128</v>
      </c>
      <c r="H101" s="22" t="s">
        <v>608</v>
      </c>
      <c r="I101" s="22" t="s">
        <v>554</v>
      </c>
      <c r="J101" s="25" t="s">
        <v>634</v>
      </c>
      <c r="K101" s="22" t="s">
        <v>558</v>
      </c>
      <c r="L101" s="22" t="s">
        <v>635</v>
      </c>
      <c r="M101" s="24" t="s">
        <v>30</v>
      </c>
      <c r="N101" s="22" t="s">
        <v>636</v>
      </c>
      <c r="O101" s="26">
        <v>25</v>
      </c>
      <c r="P101" s="26">
        <v>25</v>
      </c>
      <c r="Q101" s="26">
        <v>1</v>
      </c>
      <c r="R101" s="26">
        <v>150</v>
      </c>
      <c r="S101" s="22" t="s">
        <v>637</v>
      </c>
      <c r="T101" s="22"/>
      <c r="U101" s="22" t="s">
        <v>985</v>
      </c>
      <c r="V101" s="22"/>
      <c r="W101" s="22"/>
      <c r="X101" s="22"/>
    </row>
    <row r="102" spans="1:24" ht="42.75" x14ac:dyDescent="0.25">
      <c r="A102" s="22" t="s">
        <v>638</v>
      </c>
      <c r="B102" s="22" t="s">
        <v>554</v>
      </c>
      <c r="C102" s="22" t="s">
        <v>568</v>
      </c>
      <c r="D102" s="23">
        <v>4</v>
      </c>
      <c r="E102" s="22" t="str">
        <f>B102&amp;" Mastery "&amp;INDEX(Tiers!$B$2:$B$6,MATCH(D102,Tiers!$A$2:$A$6,0))</f>
        <v>Sword Mastery 600</v>
      </c>
      <c r="F102" s="24" t="s">
        <v>639</v>
      </c>
      <c r="G102" s="22" t="s">
        <v>141</v>
      </c>
      <c r="H102" s="22" t="s">
        <v>614</v>
      </c>
      <c r="I102" s="22" t="s">
        <v>554</v>
      </c>
      <c r="J102" s="25" t="s">
        <v>640</v>
      </c>
      <c r="K102" s="22" t="s">
        <v>558</v>
      </c>
      <c r="L102" s="22" t="s">
        <v>641</v>
      </c>
      <c r="M102" s="24" t="s">
        <v>50</v>
      </c>
      <c r="N102" s="22" t="s">
        <v>642</v>
      </c>
      <c r="O102" s="26">
        <v>30</v>
      </c>
      <c r="P102" s="26">
        <v>25</v>
      </c>
      <c r="Q102" s="26">
        <v>2</v>
      </c>
      <c r="R102" s="26">
        <v>150</v>
      </c>
      <c r="S102" s="22" t="s">
        <v>643</v>
      </c>
      <c r="T102" s="22"/>
      <c r="U102" s="22" t="s">
        <v>985</v>
      </c>
      <c r="V102" s="22"/>
      <c r="W102" s="22"/>
      <c r="X102" s="22"/>
    </row>
    <row r="103" spans="1:24" ht="42.75" x14ac:dyDescent="0.25">
      <c r="A103" s="22" t="s">
        <v>644</v>
      </c>
      <c r="B103" s="22" t="s">
        <v>554</v>
      </c>
      <c r="C103" s="22" t="s">
        <v>576</v>
      </c>
      <c r="D103" s="23">
        <v>4</v>
      </c>
      <c r="E103" s="22" t="str">
        <f>B103&amp;" Mastery "&amp;INDEX(Tiers!$B$2:$B$6,MATCH(D103,Tiers!$A$2:$A$6,0))</f>
        <v>Sword Mastery 600</v>
      </c>
      <c r="F103" s="24" t="s">
        <v>645</v>
      </c>
      <c r="G103" s="22" t="s">
        <v>55</v>
      </c>
      <c r="H103" s="22" t="s">
        <v>623</v>
      </c>
      <c r="I103" s="22" t="s">
        <v>554</v>
      </c>
      <c r="J103" s="25" t="s">
        <v>646</v>
      </c>
      <c r="K103" s="22" t="s">
        <v>605</v>
      </c>
      <c r="L103" s="22" t="s">
        <v>647</v>
      </c>
      <c r="M103" s="24" t="s">
        <v>30</v>
      </c>
      <c r="N103" s="22" t="s">
        <v>648</v>
      </c>
      <c r="O103" s="26">
        <v>20</v>
      </c>
      <c r="P103" s="26">
        <v>25</v>
      </c>
      <c r="Q103" s="26">
        <v>1</v>
      </c>
      <c r="R103" s="26">
        <v>150</v>
      </c>
      <c r="S103" s="22" t="s">
        <v>637</v>
      </c>
      <c r="T103" s="22"/>
      <c r="U103" s="22" t="s">
        <v>985</v>
      </c>
      <c r="V103" s="22"/>
      <c r="W103" s="22"/>
      <c r="X103" s="22"/>
    </row>
    <row r="104" spans="1:24" ht="42.75" x14ac:dyDescent="0.25">
      <c r="A104" s="22" t="s">
        <v>649</v>
      </c>
      <c r="B104" s="22" t="s">
        <v>554</v>
      </c>
      <c r="C104" s="22" t="s">
        <v>555</v>
      </c>
      <c r="D104" s="23">
        <v>4</v>
      </c>
      <c r="E104" s="22" t="str">
        <f>B104&amp;" Mastery "&amp;INDEX(Tiers!$B$2:$B$6,MATCH(D104,Tiers!$A$2:$A$6,0))</f>
        <v>Sword Mastery 600</v>
      </c>
      <c r="F104" s="24" t="s">
        <v>650</v>
      </c>
      <c r="G104" s="22" t="s">
        <v>47</v>
      </c>
      <c r="H104" s="22" t="s">
        <v>651</v>
      </c>
      <c r="I104" s="22" t="s">
        <v>554</v>
      </c>
      <c r="J104" s="25" t="s">
        <v>652</v>
      </c>
      <c r="K104" s="22" t="s">
        <v>558</v>
      </c>
      <c r="L104" s="22" t="s">
        <v>653</v>
      </c>
      <c r="M104" s="24" t="s">
        <v>50</v>
      </c>
      <c r="N104" s="22" t="s">
        <v>51</v>
      </c>
      <c r="O104" s="26">
        <v>30</v>
      </c>
      <c r="P104" s="26">
        <v>25</v>
      </c>
      <c r="Q104" s="26">
        <v>2</v>
      </c>
      <c r="R104" s="26">
        <v>150</v>
      </c>
      <c r="S104" s="22" t="s">
        <v>643</v>
      </c>
      <c r="T104" s="22"/>
      <c r="U104" s="22" t="s">
        <v>985</v>
      </c>
      <c r="V104" s="22"/>
      <c r="W104" s="22"/>
      <c r="X104" s="22"/>
    </row>
    <row r="105" spans="1:24" ht="42.75" x14ac:dyDescent="0.25">
      <c r="A105" s="22" t="s">
        <v>654</v>
      </c>
      <c r="B105" s="22" t="s">
        <v>554</v>
      </c>
      <c r="C105" s="22" t="s">
        <v>555</v>
      </c>
      <c r="D105" s="23">
        <v>5</v>
      </c>
      <c r="E105" s="22" t="str">
        <f>B105&amp;" Mastery "&amp;INDEX(Tiers!$B$2:$B$6,MATCH(D105,Tiers!$A$2:$A$6,0))</f>
        <v>Sword Mastery 900</v>
      </c>
      <c r="F105" s="24" t="s">
        <v>655</v>
      </c>
      <c r="G105" s="22" t="s">
        <v>128</v>
      </c>
      <c r="H105" s="22" t="s">
        <v>656</v>
      </c>
      <c r="I105" s="22" t="s">
        <v>554</v>
      </c>
      <c r="J105" s="25" t="s">
        <v>657</v>
      </c>
      <c r="K105" s="22" t="s">
        <v>558</v>
      </c>
      <c r="L105" s="22" t="s">
        <v>658</v>
      </c>
      <c r="M105" s="24" t="s">
        <v>30</v>
      </c>
      <c r="N105" s="22" t="s">
        <v>659</v>
      </c>
      <c r="O105" s="26">
        <v>60</v>
      </c>
      <c r="P105" s="26">
        <v>50</v>
      </c>
      <c r="Q105" s="26">
        <v>4</v>
      </c>
      <c r="R105" s="26">
        <v>200</v>
      </c>
      <c r="S105" s="22" t="s">
        <v>660</v>
      </c>
      <c r="T105" s="22"/>
      <c r="U105" s="22" t="s">
        <v>985</v>
      </c>
      <c r="V105" s="22"/>
      <c r="W105" s="22"/>
      <c r="X105" s="22"/>
    </row>
    <row r="106" spans="1:24" ht="42.75" x14ac:dyDescent="0.25">
      <c r="A106" s="22" t="s">
        <v>661</v>
      </c>
      <c r="B106" s="22" t="s">
        <v>554</v>
      </c>
      <c r="C106" s="22" t="s">
        <v>576</v>
      </c>
      <c r="D106" s="23">
        <v>5</v>
      </c>
      <c r="E106" s="22" t="str">
        <f>B106&amp;" Mastery "&amp;INDEX(Tiers!$B$2:$B$6,MATCH(D106,Tiers!$A$2:$A$6,0))</f>
        <v>Sword Mastery 900</v>
      </c>
      <c r="F106" s="24" t="s">
        <v>662</v>
      </c>
      <c r="G106" s="22" t="s">
        <v>47</v>
      </c>
      <c r="H106" s="22" t="s">
        <v>663</v>
      </c>
      <c r="I106" s="22" t="s">
        <v>554</v>
      </c>
      <c r="J106" s="25" t="s">
        <v>664</v>
      </c>
      <c r="K106" s="22" t="s">
        <v>558</v>
      </c>
      <c r="L106" s="22" t="s">
        <v>665</v>
      </c>
      <c r="M106" s="24" t="s">
        <v>50</v>
      </c>
      <c r="N106" s="22" t="s">
        <v>51</v>
      </c>
      <c r="O106" s="26">
        <v>120</v>
      </c>
      <c r="P106" s="26">
        <v>50</v>
      </c>
      <c r="Q106" s="26">
        <v>10</v>
      </c>
      <c r="R106" s="26">
        <v>200</v>
      </c>
      <c r="S106" s="22" t="s">
        <v>666</v>
      </c>
      <c r="T106" s="22"/>
      <c r="U106" s="22" t="s">
        <v>985</v>
      </c>
      <c r="V106" s="22"/>
      <c r="W106" s="22"/>
      <c r="X106" s="22"/>
    </row>
    <row r="107" spans="1:24" ht="28.5" x14ac:dyDescent="0.25">
      <c r="A107" s="27" t="s">
        <v>667</v>
      </c>
      <c r="B107" s="27" t="s">
        <v>668</v>
      </c>
      <c r="C107" s="27" t="s">
        <v>669</v>
      </c>
      <c r="D107" s="28">
        <v>1</v>
      </c>
      <c r="E107" s="27" t="str">
        <f>B107&amp;" Mastery "&amp;INDEX(Tiers!$B$2:$B$6,MATCH(D107,Tiers!$A$2:$A$6,0))</f>
        <v>Bow Mastery 0</v>
      </c>
      <c r="F107" s="29" t="s">
        <v>670</v>
      </c>
      <c r="G107" s="27" t="s">
        <v>24</v>
      </c>
      <c r="H107" s="27" t="s">
        <v>25</v>
      </c>
      <c r="I107" s="27" t="s">
        <v>668</v>
      </c>
      <c r="J107" s="30" t="s">
        <v>671</v>
      </c>
      <c r="K107" s="27" t="s">
        <v>672</v>
      </c>
      <c r="L107" s="27" t="s">
        <v>673</v>
      </c>
      <c r="M107" s="29" t="s">
        <v>30</v>
      </c>
      <c r="N107" s="27" t="s">
        <v>674</v>
      </c>
      <c r="O107" s="31">
        <v>2</v>
      </c>
      <c r="P107" s="31">
        <v>5</v>
      </c>
      <c r="Q107" s="31">
        <v>0.2</v>
      </c>
      <c r="R107" s="31">
        <v>50</v>
      </c>
      <c r="S107" s="27" t="s">
        <v>675</v>
      </c>
      <c r="T107" s="27"/>
      <c r="U107" s="27" t="s">
        <v>967</v>
      </c>
      <c r="V107" s="27">
        <v>2</v>
      </c>
      <c r="W107" s="27" t="s">
        <v>1162</v>
      </c>
      <c r="X107" s="27" t="s">
        <v>1163</v>
      </c>
    </row>
    <row r="108" spans="1:24" ht="42.75" x14ac:dyDescent="0.25">
      <c r="A108" s="27" t="s">
        <v>676</v>
      </c>
      <c r="B108" s="27" t="s">
        <v>668</v>
      </c>
      <c r="C108" s="27" t="s">
        <v>669</v>
      </c>
      <c r="D108" s="28">
        <v>1</v>
      </c>
      <c r="E108" s="27" t="str">
        <f>B108&amp;" Mastery "&amp;INDEX(Tiers!$B$2:$B$6,MATCH(D108,Tiers!$A$2:$A$6,0))</f>
        <v>Bow Mastery 0</v>
      </c>
      <c r="F108" s="29" t="s">
        <v>677</v>
      </c>
      <c r="G108" s="27" t="s">
        <v>24</v>
      </c>
      <c r="H108" s="27" t="s">
        <v>25</v>
      </c>
      <c r="I108" s="27" t="s">
        <v>668</v>
      </c>
      <c r="J108" s="30" t="s">
        <v>678</v>
      </c>
      <c r="K108" s="27" t="s">
        <v>672</v>
      </c>
      <c r="L108" s="27" t="s">
        <v>679</v>
      </c>
      <c r="M108" s="29" t="s">
        <v>43</v>
      </c>
      <c r="N108" s="27" t="s">
        <v>680</v>
      </c>
      <c r="O108" s="31">
        <v>6</v>
      </c>
      <c r="P108" s="31">
        <v>5</v>
      </c>
      <c r="Q108" s="31">
        <v>0.2</v>
      </c>
      <c r="R108" s="31">
        <v>50</v>
      </c>
      <c r="S108" s="27" t="s">
        <v>675</v>
      </c>
      <c r="T108" s="27"/>
      <c r="U108" s="27" t="s">
        <v>967</v>
      </c>
      <c r="V108" s="27">
        <v>4</v>
      </c>
      <c r="W108" s="27" t="s">
        <v>1164</v>
      </c>
      <c r="X108" s="27" t="s">
        <v>1165</v>
      </c>
    </row>
    <row r="109" spans="1:24" ht="28.5" x14ac:dyDescent="0.25">
      <c r="A109" s="27" t="s">
        <v>681</v>
      </c>
      <c r="B109" s="27" t="s">
        <v>668</v>
      </c>
      <c r="C109" s="27" t="s">
        <v>682</v>
      </c>
      <c r="D109" s="28">
        <v>1</v>
      </c>
      <c r="E109" s="27" t="str">
        <f>B109&amp;" Mastery "&amp;INDEX(Tiers!$B$2:$B$6,MATCH(D109,Tiers!$A$2:$A$6,0))</f>
        <v>Bow Mastery 0</v>
      </c>
      <c r="F109" s="29" t="s">
        <v>683</v>
      </c>
      <c r="G109" s="27" t="s">
        <v>55</v>
      </c>
      <c r="H109" s="27" t="s">
        <v>25</v>
      </c>
      <c r="I109" s="27" t="s">
        <v>668</v>
      </c>
      <c r="J109" s="30" t="s">
        <v>684</v>
      </c>
      <c r="K109" s="27" t="s">
        <v>685</v>
      </c>
      <c r="L109" s="27" t="s">
        <v>686</v>
      </c>
      <c r="M109" s="29" t="s">
        <v>50</v>
      </c>
      <c r="N109" s="27" t="s">
        <v>687</v>
      </c>
      <c r="O109" s="31">
        <v>12</v>
      </c>
      <c r="P109" s="31">
        <v>5</v>
      </c>
      <c r="Q109" s="31">
        <v>0.4</v>
      </c>
      <c r="R109" s="31">
        <v>50</v>
      </c>
      <c r="S109" s="27" t="s">
        <v>688</v>
      </c>
      <c r="T109" s="27"/>
      <c r="U109" s="27" t="s">
        <v>985</v>
      </c>
      <c r="V109" s="27"/>
      <c r="W109" s="27"/>
      <c r="X109" s="27"/>
    </row>
    <row r="110" spans="1:24" ht="28.5" x14ac:dyDescent="0.25">
      <c r="A110" s="27" t="s">
        <v>689</v>
      </c>
      <c r="B110" s="27" t="s">
        <v>668</v>
      </c>
      <c r="C110" s="27" t="s">
        <v>682</v>
      </c>
      <c r="D110" s="28">
        <v>1</v>
      </c>
      <c r="E110" s="27" t="str">
        <f>B110&amp;" Mastery "&amp;INDEX(Tiers!$B$2:$B$6,MATCH(D110,Tiers!$A$2:$A$6,0))</f>
        <v>Bow Mastery 0</v>
      </c>
      <c r="F110" s="29" t="s">
        <v>690</v>
      </c>
      <c r="G110" s="27" t="s">
        <v>102</v>
      </c>
      <c r="H110" s="27" t="s">
        <v>25</v>
      </c>
      <c r="I110" s="27" t="s">
        <v>668</v>
      </c>
      <c r="J110" s="30" t="s">
        <v>691</v>
      </c>
      <c r="K110" s="27" t="s">
        <v>685</v>
      </c>
      <c r="L110" s="27" t="s">
        <v>692</v>
      </c>
      <c r="M110" s="29" t="s">
        <v>30</v>
      </c>
      <c r="N110" s="27" t="s">
        <v>693</v>
      </c>
      <c r="O110" s="31">
        <v>15</v>
      </c>
      <c r="P110" s="31">
        <v>5</v>
      </c>
      <c r="Q110" s="31">
        <v>0.4</v>
      </c>
      <c r="R110" s="31">
        <v>50</v>
      </c>
      <c r="S110" s="27" t="s">
        <v>688</v>
      </c>
      <c r="T110" s="27"/>
      <c r="U110" s="27" t="s">
        <v>985</v>
      </c>
      <c r="V110" s="27"/>
      <c r="W110" s="27"/>
      <c r="X110" s="27"/>
    </row>
    <row r="111" spans="1:24" ht="28.5" x14ac:dyDescent="0.25">
      <c r="A111" s="27" t="s">
        <v>694</v>
      </c>
      <c r="B111" s="27" t="s">
        <v>668</v>
      </c>
      <c r="C111" s="27" t="s">
        <v>695</v>
      </c>
      <c r="D111" s="28">
        <v>2</v>
      </c>
      <c r="E111" s="27" t="str">
        <f>B111&amp;" Mastery "&amp;INDEX(Tiers!$B$2:$B$6,MATCH(D111,Tiers!$A$2:$A$6,0))</f>
        <v>Bow Mastery 150</v>
      </c>
      <c r="F111" s="29" t="s">
        <v>696</v>
      </c>
      <c r="G111" s="27" t="s">
        <v>68</v>
      </c>
      <c r="H111" s="27" t="s">
        <v>670</v>
      </c>
      <c r="I111" s="27" t="s">
        <v>668</v>
      </c>
      <c r="J111" s="30" t="s">
        <v>697</v>
      </c>
      <c r="K111" s="27" t="s">
        <v>672</v>
      </c>
      <c r="L111" s="27" t="s">
        <v>698</v>
      </c>
      <c r="M111" s="29" t="s">
        <v>30</v>
      </c>
      <c r="N111" s="27" t="s">
        <v>699</v>
      </c>
      <c r="O111" s="31">
        <v>8</v>
      </c>
      <c r="P111" s="31">
        <v>10</v>
      </c>
      <c r="Q111" s="31">
        <v>0.3</v>
      </c>
      <c r="R111" s="31">
        <v>70</v>
      </c>
      <c r="S111" s="27" t="s">
        <v>700</v>
      </c>
      <c r="T111" s="27"/>
      <c r="U111" s="27" t="s">
        <v>985</v>
      </c>
      <c r="V111" s="27"/>
      <c r="W111" s="27"/>
      <c r="X111" s="27"/>
    </row>
    <row r="112" spans="1:24" ht="28.5" x14ac:dyDescent="0.25">
      <c r="A112" s="27" t="s">
        <v>701</v>
      </c>
      <c r="B112" s="27" t="s">
        <v>668</v>
      </c>
      <c r="C112" s="27" t="s">
        <v>669</v>
      </c>
      <c r="D112" s="28">
        <v>2</v>
      </c>
      <c r="E112" s="27" t="str">
        <f>B112&amp;" Mastery "&amp;INDEX(Tiers!$B$2:$B$6,MATCH(D112,Tiers!$A$2:$A$6,0))</f>
        <v>Bow Mastery 150</v>
      </c>
      <c r="F112" s="29" t="s">
        <v>702</v>
      </c>
      <c r="G112" s="27" t="s">
        <v>24</v>
      </c>
      <c r="H112" s="27" t="s">
        <v>677</v>
      </c>
      <c r="I112" s="27" t="s">
        <v>668</v>
      </c>
      <c r="J112" s="30" t="s">
        <v>703</v>
      </c>
      <c r="K112" s="27" t="s">
        <v>672</v>
      </c>
      <c r="L112" s="27" t="s">
        <v>704</v>
      </c>
      <c r="M112" s="29" t="s">
        <v>43</v>
      </c>
      <c r="N112" s="27" t="s">
        <v>705</v>
      </c>
      <c r="O112" s="31">
        <v>10</v>
      </c>
      <c r="P112" s="31">
        <v>10</v>
      </c>
      <c r="Q112" s="31">
        <v>0.6</v>
      </c>
      <c r="R112" s="31">
        <v>70</v>
      </c>
      <c r="S112" s="27" t="s">
        <v>706</v>
      </c>
      <c r="T112" s="27"/>
      <c r="U112" s="27" t="s">
        <v>985</v>
      </c>
      <c r="V112" s="27"/>
      <c r="W112" s="27"/>
      <c r="X112" s="27"/>
    </row>
    <row r="113" spans="1:24" ht="28.5" x14ac:dyDescent="0.25">
      <c r="A113" s="27" t="s">
        <v>707</v>
      </c>
      <c r="B113" s="27" t="s">
        <v>668</v>
      </c>
      <c r="C113" s="27" t="s">
        <v>682</v>
      </c>
      <c r="D113" s="28">
        <v>2</v>
      </c>
      <c r="E113" s="27" t="str">
        <f>B113&amp;" Mastery "&amp;INDEX(Tiers!$B$2:$B$6,MATCH(D113,Tiers!$A$2:$A$6,0))</f>
        <v>Bow Mastery 150</v>
      </c>
      <c r="F113" s="29" t="s">
        <v>708</v>
      </c>
      <c r="G113" s="27" t="s">
        <v>594</v>
      </c>
      <c r="H113" s="27" t="s">
        <v>690</v>
      </c>
      <c r="I113" s="27" t="s">
        <v>668</v>
      </c>
      <c r="J113" s="30" t="s">
        <v>709</v>
      </c>
      <c r="K113" s="27" t="s">
        <v>672</v>
      </c>
      <c r="L113" s="27" t="s">
        <v>710</v>
      </c>
      <c r="M113" s="29" t="s">
        <v>30</v>
      </c>
      <c r="N113" s="27" t="s">
        <v>711</v>
      </c>
      <c r="O113" s="31">
        <v>8</v>
      </c>
      <c r="P113" s="31">
        <v>10</v>
      </c>
      <c r="Q113" s="31">
        <v>0.3</v>
      </c>
      <c r="R113" s="31">
        <v>70</v>
      </c>
      <c r="S113" s="27" t="s">
        <v>700</v>
      </c>
      <c r="T113" s="27"/>
      <c r="U113" s="27" t="s">
        <v>985</v>
      </c>
      <c r="V113" s="27"/>
      <c r="W113" s="27"/>
      <c r="X113" s="27"/>
    </row>
    <row r="114" spans="1:24" ht="28.5" x14ac:dyDescent="0.25">
      <c r="A114" s="27" t="s">
        <v>712</v>
      </c>
      <c r="B114" s="27" t="s">
        <v>668</v>
      </c>
      <c r="C114" s="27" t="s">
        <v>682</v>
      </c>
      <c r="D114" s="28">
        <v>2</v>
      </c>
      <c r="E114" s="27" t="str">
        <f>B114&amp;" Mastery "&amp;INDEX(Tiers!$B$2:$B$6,MATCH(D114,Tiers!$A$2:$A$6,0))</f>
        <v>Bow Mastery 150</v>
      </c>
      <c r="F114" s="29" t="s">
        <v>713</v>
      </c>
      <c r="G114" s="27" t="s">
        <v>363</v>
      </c>
      <c r="H114" s="27" t="s">
        <v>683</v>
      </c>
      <c r="I114" s="27" t="s">
        <v>668</v>
      </c>
      <c r="J114" s="30" t="s">
        <v>714</v>
      </c>
      <c r="K114" s="27" t="s">
        <v>672</v>
      </c>
      <c r="L114" s="27" t="s">
        <v>715</v>
      </c>
      <c r="M114" s="29" t="s">
        <v>43</v>
      </c>
      <c r="N114" s="27" t="s">
        <v>716</v>
      </c>
      <c r="O114" s="31">
        <v>14</v>
      </c>
      <c r="P114" s="31">
        <v>10</v>
      </c>
      <c r="Q114" s="31">
        <v>0.6</v>
      </c>
      <c r="R114" s="31">
        <v>70</v>
      </c>
      <c r="S114" s="27" t="s">
        <v>706</v>
      </c>
      <c r="T114" s="27"/>
      <c r="U114" s="27" t="s">
        <v>985</v>
      </c>
      <c r="V114" s="27"/>
      <c r="W114" s="27"/>
      <c r="X114" s="27"/>
    </row>
    <row r="115" spans="1:24" ht="28.5" x14ac:dyDescent="0.25">
      <c r="A115" s="27" t="s">
        <v>717</v>
      </c>
      <c r="B115" s="27" t="s">
        <v>668</v>
      </c>
      <c r="C115" s="27" t="s">
        <v>669</v>
      </c>
      <c r="D115" s="28">
        <v>2</v>
      </c>
      <c r="E115" s="27" t="str">
        <f>B115&amp;" Mastery "&amp;INDEX(Tiers!$B$2:$B$6,MATCH(D115,Tiers!$A$2:$A$6,0))</f>
        <v>Bow Mastery 150</v>
      </c>
      <c r="F115" s="29" t="s">
        <v>718</v>
      </c>
      <c r="G115" s="27" t="s">
        <v>47</v>
      </c>
      <c r="H115" s="27" t="s">
        <v>677</v>
      </c>
      <c r="I115" s="27" t="s">
        <v>668</v>
      </c>
      <c r="J115" s="30" t="s">
        <v>719</v>
      </c>
      <c r="K115" s="27" t="s">
        <v>685</v>
      </c>
      <c r="L115" s="27" t="s">
        <v>720</v>
      </c>
      <c r="M115" s="29" t="s">
        <v>50</v>
      </c>
      <c r="N115" s="27" t="s">
        <v>51</v>
      </c>
      <c r="O115" s="31">
        <v>20</v>
      </c>
      <c r="P115" s="31">
        <v>10</v>
      </c>
      <c r="Q115" s="31">
        <v>0.6</v>
      </c>
      <c r="R115" s="31">
        <v>70</v>
      </c>
      <c r="S115" s="27" t="s">
        <v>706</v>
      </c>
      <c r="T115" s="27"/>
      <c r="U115" s="27" t="s">
        <v>985</v>
      </c>
      <c r="V115" s="27"/>
      <c r="W115" s="27"/>
      <c r="X115" s="27"/>
    </row>
    <row r="116" spans="1:24" ht="42.75" x14ac:dyDescent="0.25">
      <c r="A116" s="27" t="s">
        <v>721</v>
      </c>
      <c r="B116" s="27" t="s">
        <v>668</v>
      </c>
      <c r="C116" s="27" t="s">
        <v>695</v>
      </c>
      <c r="D116" s="28">
        <v>3</v>
      </c>
      <c r="E116" s="27" t="str">
        <f>B116&amp;" Mastery "&amp;INDEX(Tiers!$B$2:$B$6,MATCH(D116,Tiers!$A$2:$A$6,0))</f>
        <v>Bow Mastery 350</v>
      </c>
      <c r="F116" s="29" t="s">
        <v>695</v>
      </c>
      <c r="G116" s="27" t="s">
        <v>68</v>
      </c>
      <c r="H116" s="27" t="s">
        <v>696</v>
      </c>
      <c r="I116" s="27" t="s">
        <v>668</v>
      </c>
      <c r="J116" s="30" t="s">
        <v>722</v>
      </c>
      <c r="K116" s="27" t="s">
        <v>672</v>
      </c>
      <c r="L116" s="27" t="s">
        <v>723</v>
      </c>
      <c r="M116" s="29" t="s">
        <v>58</v>
      </c>
      <c r="N116" s="27" t="s">
        <v>724</v>
      </c>
      <c r="O116" s="31">
        <v>14</v>
      </c>
      <c r="P116" s="31">
        <v>15</v>
      </c>
      <c r="Q116" s="31">
        <v>0.8</v>
      </c>
      <c r="R116" s="31">
        <v>100</v>
      </c>
      <c r="S116" s="27" t="s">
        <v>725</v>
      </c>
      <c r="T116" s="27"/>
      <c r="U116" s="27" t="s">
        <v>985</v>
      </c>
      <c r="V116" s="27"/>
      <c r="W116" s="27"/>
      <c r="X116" s="27"/>
    </row>
    <row r="117" spans="1:24" ht="42.75" x14ac:dyDescent="0.25">
      <c r="A117" s="27" t="s">
        <v>726</v>
      </c>
      <c r="B117" s="27" t="s">
        <v>668</v>
      </c>
      <c r="C117" s="27" t="s">
        <v>669</v>
      </c>
      <c r="D117" s="28">
        <v>3</v>
      </c>
      <c r="E117" s="27" t="str">
        <f>B117&amp;" Mastery "&amp;INDEX(Tiers!$B$2:$B$6,MATCH(D117,Tiers!$A$2:$A$6,0))</f>
        <v>Bow Mastery 350</v>
      </c>
      <c r="F117" s="29" t="s">
        <v>727</v>
      </c>
      <c r="G117" s="27" t="s">
        <v>128</v>
      </c>
      <c r="H117" s="27" t="s">
        <v>728</v>
      </c>
      <c r="I117" s="27" t="s">
        <v>668</v>
      </c>
      <c r="J117" s="30" t="s">
        <v>729</v>
      </c>
      <c r="K117" s="27" t="s">
        <v>672</v>
      </c>
      <c r="L117" s="27" t="s">
        <v>730</v>
      </c>
      <c r="M117" s="29" t="s">
        <v>30</v>
      </c>
      <c r="N117" s="27" t="s">
        <v>731</v>
      </c>
      <c r="O117" s="31">
        <v>20</v>
      </c>
      <c r="P117" s="31">
        <v>15</v>
      </c>
      <c r="Q117" s="31">
        <v>0.8</v>
      </c>
      <c r="R117" s="31">
        <v>100</v>
      </c>
      <c r="S117" s="27" t="s">
        <v>725</v>
      </c>
      <c r="T117" s="27"/>
      <c r="U117" s="27" t="s">
        <v>985</v>
      </c>
      <c r="V117" s="27"/>
      <c r="W117" s="27"/>
      <c r="X117" s="27"/>
    </row>
    <row r="118" spans="1:24" ht="42.75" x14ac:dyDescent="0.25">
      <c r="A118" s="27" t="s">
        <v>732</v>
      </c>
      <c r="B118" s="27" t="s">
        <v>668</v>
      </c>
      <c r="C118" s="27" t="s">
        <v>682</v>
      </c>
      <c r="D118" s="28">
        <v>3</v>
      </c>
      <c r="E118" s="27" t="str">
        <f>B118&amp;" Mastery "&amp;INDEX(Tiers!$B$2:$B$6,MATCH(D118,Tiers!$A$2:$A$6,0))</f>
        <v>Bow Mastery 350</v>
      </c>
      <c r="F118" s="29" t="s">
        <v>733</v>
      </c>
      <c r="G118" s="27" t="s">
        <v>734</v>
      </c>
      <c r="H118" s="27" t="s">
        <v>713</v>
      </c>
      <c r="I118" s="27" t="s">
        <v>668</v>
      </c>
      <c r="J118" s="30" t="s">
        <v>735</v>
      </c>
      <c r="K118" s="27" t="s">
        <v>672</v>
      </c>
      <c r="L118" s="27" t="s">
        <v>736</v>
      </c>
      <c r="M118" s="29" t="s">
        <v>58</v>
      </c>
      <c r="N118" s="27" t="s">
        <v>737</v>
      </c>
      <c r="O118" s="31">
        <v>18</v>
      </c>
      <c r="P118" s="31">
        <v>15</v>
      </c>
      <c r="Q118" s="31">
        <v>0.8</v>
      </c>
      <c r="R118" s="31">
        <v>100</v>
      </c>
      <c r="S118" s="27" t="s">
        <v>725</v>
      </c>
      <c r="T118" s="27"/>
      <c r="U118" s="27" t="s">
        <v>985</v>
      </c>
      <c r="V118" s="27"/>
      <c r="W118" s="27"/>
      <c r="X118" s="27"/>
    </row>
    <row r="119" spans="1:24" ht="42.75" x14ac:dyDescent="0.25">
      <c r="A119" s="27" t="s">
        <v>738</v>
      </c>
      <c r="B119" s="27" t="s">
        <v>668</v>
      </c>
      <c r="C119" s="27" t="s">
        <v>695</v>
      </c>
      <c r="D119" s="28">
        <v>3</v>
      </c>
      <c r="E119" s="27" t="str">
        <f>B119&amp;" Mastery "&amp;INDEX(Tiers!$B$2:$B$6,MATCH(D119,Tiers!$A$2:$A$6,0))</f>
        <v>Bow Mastery 350</v>
      </c>
      <c r="F119" s="29" t="s">
        <v>739</v>
      </c>
      <c r="G119" s="27" t="s">
        <v>24</v>
      </c>
      <c r="H119" s="27" t="s">
        <v>696</v>
      </c>
      <c r="I119" s="27" t="s">
        <v>668</v>
      </c>
      <c r="J119" s="30" t="s">
        <v>740</v>
      </c>
      <c r="K119" s="27" t="s">
        <v>672</v>
      </c>
      <c r="L119" s="27" t="s">
        <v>741</v>
      </c>
      <c r="M119" s="29" t="s">
        <v>30</v>
      </c>
      <c r="N119" s="27" t="s">
        <v>742</v>
      </c>
      <c r="O119" s="31">
        <v>16</v>
      </c>
      <c r="P119" s="31">
        <v>15</v>
      </c>
      <c r="Q119" s="31">
        <v>0.8</v>
      </c>
      <c r="R119" s="31">
        <v>100</v>
      </c>
      <c r="S119" s="27" t="s">
        <v>725</v>
      </c>
      <c r="T119" s="27"/>
      <c r="U119" s="27" t="s">
        <v>985</v>
      </c>
      <c r="V119" s="27"/>
      <c r="W119" s="27"/>
      <c r="X119" s="27"/>
    </row>
    <row r="120" spans="1:24" ht="42.75" x14ac:dyDescent="0.25">
      <c r="A120" s="27" t="s">
        <v>743</v>
      </c>
      <c r="B120" s="27" t="s">
        <v>668</v>
      </c>
      <c r="C120" s="27" t="s">
        <v>682</v>
      </c>
      <c r="D120" s="28">
        <v>3</v>
      </c>
      <c r="E120" s="27" t="str">
        <f>B120&amp;" Mastery "&amp;INDEX(Tiers!$B$2:$B$6,MATCH(D120,Tiers!$A$2:$A$6,0))</f>
        <v>Bow Mastery 350</v>
      </c>
      <c r="F120" s="29" t="s">
        <v>744</v>
      </c>
      <c r="G120" s="27" t="s">
        <v>745</v>
      </c>
      <c r="H120" s="27" t="s">
        <v>683</v>
      </c>
      <c r="I120" s="27" t="s">
        <v>668</v>
      </c>
      <c r="J120" s="30" t="s">
        <v>746</v>
      </c>
      <c r="K120" s="27" t="s">
        <v>685</v>
      </c>
      <c r="L120" s="27" t="s">
        <v>747</v>
      </c>
      <c r="M120" s="29" t="s">
        <v>50</v>
      </c>
      <c r="N120" s="27" t="s">
        <v>51</v>
      </c>
      <c r="O120" s="31">
        <v>30</v>
      </c>
      <c r="P120" s="31">
        <v>15</v>
      </c>
      <c r="Q120" s="31">
        <v>1.6</v>
      </c>
      <c r="R120" s="31">
        <v>100</v>
      </c>
      <c r="S120" s="27" t="s">
        <v>748</v>
      </c>
      <c r="T120" s="27"/>
      <c r="U120" s="27" t="s">
        <v>985</v>
      </c>
      <c r="V120" s="27"/>
      <c r="W120" s="27"/>
      <c r="X120" s="27"/>
    </row>
    <row r="121" spans="1:24" ht="42.75" x14ac:dyDescent="0.25">
      <c r="A121" s="27" t="s">
        <v>749</v>
      </c>
      <c r="B121" s="27" t="s">
        <v>668</v>
      </c>
      <c r="C121" s="27" t="s">
        <v>695</v>
      </c>
      <c r="D121" s="28">
        <v>4</v>
      </c>
      <c r="E121" s="27" t="str">
        <f>B121&amp;" Mastery "&amp;INDEX(Tiers!$B$2:$B$6,MATCH(D121,Tiers!$A$2:$A$6,0))</f>
        <v>Bow Mastery 600</v>
      </c>
      <c r="F121" s="29" t="s">
        <v>750</v>
      </c>
      <c r="G121" s="27" t="s">
        <v>68</v>
      </c>
      <c r="H121" s="27" t="s">
        <v>695</v>
      </c>
      <c r="I121" s="27" t="s">
        <v>668</v>
      </c>
      <c r="J121" s="30" t="s">
        <v>751</v>
      </c>
      <c r="K121" s="27" t="s">
        <v>672</v>
      </c>
      <c r="L121" s="27" t="s">
        <v>752</v>
      </c>
      <c r="M121" s="29" t="s">
        <v>58</v>
      </c>
      <c r="N121" s="27" t="s">
        <v>753</v>
      </c>
      <c r="O121" s="31">
        <v>35</v>
      </c>
      <c r="P121" s="31">
        <v>25</v>
      </c>
      <c r="Q121" s="31">
        <v>2</v>
      </c>
      <c r="R121" s="31">
        <v>150</v>
      </c>
      <c r="S121" s="27" t="s">
        <v>754</v>
      </c>
      <c r="T121" s="27"/>
      <c r="U121" s="27" t="s">
        <v>985</v>
      </c>
      <c r="V121" s="27"/>
      <c r="W121" s="27"/>
      <c r="X121" s="27"/>
    </row>
    <row r="122" spans="1:24" ht="42.75" x14ac:dyDescent="0.25">
      <c r="A122" s="27" t="s">
        <v>755</v>
      </c>
      <c r="B122" s="27" t="s">
        <v>668</v>
      </c>
      <c r="C122" s="27" t="s">
        <v>669</v>
      </c>
      <c r="D122" s="28">
        <v>4</v>
      </c>
      <c r="E122" s="27" t="str">
        <f>B122&amp;" Mastery "&amp;INDEX(Tiers!$B$2:$B$6,MATCH(D122,Tiers!$A$2:$A$6,0))</f>
        <v>Bow Mastery 600</v>
      </c>
      <c r="F122" s="29" t="s">
        <v>756</v>
      </c>
      <c r="G122" s="27" t="s">
        <v>403</v>
      </c>
      <c r="H122" s="27" t="s">
        <v>757</v>
      </c>
      <c r="I122" s="27" t="s">
        <v>668</v>
      </c>
      <c r="J122" s="30" t="s">
        <v>758</v>
      </c>
      <c r="K122" s="27" t="s">
        <v>672</v>
      </c>
      <c r="L122" s="27" t="s">
        <v>759</v>
      </c>
      <c r="M122" s="29" t="s">
        <v>43</v>
      </c>
      <c r="N122" s="27" t="s">
        <v>760</v>
      </c>
      <c r="O122" s="31">
        <v>25</v>
      </c>
      <c r="P122" s="31">
        <v>25</v>
      </c>
      <c r="Q122" s="31">
        <v>1</v>
      </c>
      <c r="R122" s="31">
        <v>150</v>
      </c>
      <c r="S122" s="27" t="s">
        <v>761</v>
      </c>
      <c r="T122" s="27"/>
      <c r="U122" s="27" t="s">
        <v>985</v>
      </c>
      <c r="V122" s="27"/>
      <c r="W122" s="27"/>
      <c r="X122" s="27"/>
    </row>
    <row r="123" spans="1:24" ht="42.75" x14ac:dyDescent="0.25">
      <c r="A123" s="27" t="s">
        <v>762</v>
      </c>
      <c r="B123" s="27" t="s">
        <v>668</v>
      </c>
      <c r="C123" s="27" t="s">
        <v>669</v>
      </c>
      <c r="D123" s="28">
        <v>4</v>
      </c>
      <c r="E123" s="27" t="str">
        <f>B123&amp;" Mastery "&amp;INDEX(Tiers!$B$2:$B$6,MATCH(D123,Tiers!$A$2:$A$6,0))</f>
        <v>Bow Mastery 600</v>
      </c>
      <c r="F123" s="29" t="s">
        <v>763</v>
      </c>
      <c r="G123" s="27" t="s">
        <v>128</v>
      </c>
      <c r="H123" s="27" t="s">
        <v>727</v>
      </c>
      <c r="I123" s="27" t="s">
        <v>668</v>
      </c>
      <c r="J123" s="30" t="s">
        <v>764</v>
      </c>
      <c r="K123" s="27" t="s">
        <v>672</v>
      </c>
      <c r="L123" s="27" t="s">
        <v>765</v>
      </c>
      <c r="M123" s="29" t="s">
        <v>30</v>
      </c>
      <c r="N123" s="27" t="s">
        <v>766</v>
      </c>
      <c r="O123" s="31">
        <v>20</v>
      </c>
      <c r="P123" s="31">
        <v>25</v>
      </c>
      <c r="Q123" s="31">
        <v>1</v>
      </c>
      <c r="R123" s="31">
        <v>150</v>
      </c>
      <c r="S123" s="27" t="s">
        <v>761</v>
      </c>
      <c r="T123" s="27"/>
      <c r="U123" s="27" t="s">
        <v>985</v>
      </c>
      <c r="V123" s="27"/>
      <c r="W123" s="27"/>
      <c r="X123" s="27"/>
    </row>
    <row r="124" spans="1:24" ht="42.75" x14ac:dyDescent="0.25">
      <c r="A124" s="27" t="s">
        <v>767</v>
      </c>
      <c r="B124" s="27" t="s">
        <v>668</v>
      </c>
      <c r="C124" s="27" t="s">
        <v>695</v>
      </c>
      <c r="D124" s="28">
        <v>4</v>
      </c>
      <c r="E124" s="27" t="str">
        <f>B124&amp;" Mastery "&amp;INDEX(Tiers!$B$2:$B$6,MATCH(D124,Tiers!$A$2:$A$6,0))</f>
        <v>Bow Mastery 600</v>
      </c>
      <c r="F124" s="29" t="s">
        <v>768</v>
      </c>
      <c r="G124" s="27" t="s">
        <v>24</v>
      </c>
      <c r="H124" s="27" t="s">
        <v>739</v>
      </c>
      <c r="I124" s="27" t="s">
        <v>668</v>
      </c>
      <c r="J124" s="30" t="s">
        <v>769</v>
      </c>
      <c r="K124" s="27" t="s">
        <v>672</v>
      </c>
      <c r="L124" s="27" t="s">
        <v>770</v>
      </c>
      <c r="M124" s="29" t="s">
        <v>30</v>
      </c>
      <c r="N124" s="27" t="s">
        <v>771</v>
      </c>
      <c r="O124" s="31">
        <v>15</v>
      </c>
      <c r="P124" s="31">
        <v>25</v>
      </c>
      <c r="Q124" s="31">
        <v>1</v>
      </c>
      <c r="R124" s="31">
        <v>150</v>
      </c>
      <c r="S124" s="27" t="s">
        <v>761</v>
      </c>
      <c r="T124" s="27"/>
      <c r="U124" s="27" t="s">
        <v>985</v>
      </c>
      <c r="V124" s="27"/>
      <c r="W124" s="27"/>
      <c r="X124" s="27"/>
    </row>
    <row r="125" spans="1:24" ht="42.75" x14ac:dyDescent="0.25">
      <c r="A125" s="27" t="s">
        <v>772</v>
      </c>
      <c r="B125" s="27" t="s">
        <v>668</v>
      </c>
      <c r="C125" s="27" t="s">
        <v>669</v>
      </c>
      <c r="D125" s="28">
        <v>5</v>
      </c>
      <c r="E125" s="27" t="str">
        <f>B125&amp;" Mastery "&amp;INDEX(Tiers!$B$2:$B$6,MATCH(D125,Tiers!$A$2:$A$6,0))</f>
        <v>Bow Mastery 900</v>
      </c>
      <c r="F125" s="29" t="s">
        <v>773</v>
      </c>
      <c r="G125" s="27" t="s">
        <v>47</v>
      </c>
      <c r="H125" s="27" t="s">
        <v>774</v>
      </c>
      <c r="I125" s="27" t="s">
        <v>668</v>
      </c>
      <c r="J125" s="30" t="s">
        <v>775</v>
      </c>
      <c r="K125" s="27" t="s">
        <v>776</v>
      </c>
      <c r="L125" s="27" t="s">
        <v>777</v>
      </c>
      <c r="M125" s="29" t="s">
        <v>50</v>
      </c>
      <c r="N125" s="27" t="s">
        <v>51</v>
      </c>
      <c r="O125" s="31">
        <v>120</v>
      </c>
      <c r="P125" s="31">
        <v>50</v>
      </c>
      <c r="Q125" s="31">
        <v>10</v>
      </c>
      <c r="R125" s="31">
        <v>200</v>
      </c>
      <c r="S125" s="27" t="s">
        <v>778</v>
      </c>
      <c r="T125" s="27"/>
      <c r="U125" s="27" t="s">
        <v>985</v>
      </c>
      <c r="V125" s="27"/>
      <c r="W125" s="27"/>
      <c r="X125" s="27"/>
    </row>
    <row r="126" spans="1:24" ht="42.75" x14ac:dyDescent="0.25">
      <c r="A126" s="27" t="s">
        <v>779</v>
      </c>
      <c r="B126" s="27" t="s">
        <v>668</v>
      </c>
      <c r="C126" s="27" t="s">
        <v>695</v>
      </c>
      <c r="D126" s="28">
        <v>5</v>
      </c>
      <c r="E126" s="27" t="str">
        <f>B126&amp;" Mastery "&amp;INDEX(Tiers!$B$2:$B$6,MATCH(D126,Tiers!$A$2:$A$6,0))</f>
        <v>Bow Mastery 900</v>
      </c>
      <c r="F126" s="29" t="s">
        <v>780</v>
      </c>
      <c r="G126" s="27" t="s">
        <v>68</v>
      </c>
      <c r="H126" s="27" t="s">
        <v>781</v>
      </c>
      <c r="I126" s="27" t="s">
        <v>668</v>
      </c>
      <c r="J126" s="30" t="s">
        <v>782</v>
      </c>
      <c r="K126" s="27" t="s">
        <v>672</v>
      </c>
      <c r="L126" s="27" t="s">
        <v>783</v>
      </c>
      <c r="M126" s="29" t="s">
        <v>58</v>
      </c>
      <c r="N126" s="27" t="s">
        <v>784</v>
      </c>
      <c r="O126" s="31">
        <v>90</v>
      </c>
      <c r="P126" s="31">
        <v>50</v>
      </c>
      <c r="Q126" s="31">
        <v>10</v>
      </c>
      <c r="R126" s="31">
        <v>200</v>
      </c>
      <c r="S126" s="27" t="s">
        <v>778</v>
      </c>
      <c r="T126" s="27"/>
      <c r="U126" s="27" t="s">
        <v>985</v>
      </c>
      <c r="V126" s="27"/>
      <c r="W126" s="27"/>
      <c r="X126" s="27"/>
    </row>
    <row r="127" spans="1:24" ht="42.75" x14ac:dyDescent="0.25">
      <c r="A127" s="32" t="s">
        <v>785</v>
      </c>
      <c r="B127" s="32" t="s">
        <v>786</v>
      </c>
      <c r="C127" s="32" t="s">
        <v>787</v>
      </c>
      <c r="D127" s="33">
        <v>1</v>
      </c>
      <c r="E127" s="32" t="str">
        <f>B127&amp;" Mastery "&amp;INDEX(Tiers!$B$2:$B$6,MATCH(D127,Tiers!$A$2:$A$6,0))</f>
        <v>Hammer Mastery 0</v>
      </c>
      <c r="F127" s="34" t="s">
        <v>787</v>
      </c>
      <c r="G127" s="32" t="s">
        <v>24</v>
      </c>
      <c r="H127" s="32" t="s">
        <v>25</v>
      </c>
      <c r="I127" s="32" t="s">
        <v>786</v>
      </c>
      <c r="J127" s="35" t="s">
        <v>788</v>
      </c>
      <c r="K127" s="32" t="s">
        <v>789</v>
      </c>
      <c r="L127" s="32" t="s">
        <v>790</v>
      </c>
      <c r="M127" s="34" t="s">
        <v>30</v>
      </c>
      <c r="N127" s="32" t="s">
        <v>791</v>
      </c>
      <c r="O127" s="36">
        <v>4</v>
      </c>
      <c r="P127" s="36">
        <v>5</v>
      </c>
      <c r="Q127" s="36">
        <v>0.2</v>
      </c>
      <c r="R127" s="36">
        <v>50</v>
      </c>
      <c r="S127" s="32" t="s">
        <v>792</v>
      </c>
      <c r="T127" s="32"/>
      <c r="U127" s="32" t="s">
        <v>970</v>
      </c>
      <c r="V127" s="32">
        <v>1.2</v>
      </c>
      <c r="W127" s="32" t="s">
        <v>1013</v>
      </c>
      <c r="X127" s="32" t="s">
        <v>1014</v>
      </c>
    </row>
    <row r="128" spans="1:24" ht="42.75" x14ac:dyDescent="0.25">
      <c r="A128" s="32" t="s">
        <v>793</v>
      </c>
      <c r="B128" s="32" t="s">
        <v>786</v>
      </c>
      <c r="C128" s="32" t="s">
        <v>794</v>
      </c>
      <c r="D128" s="33">
        <v>1</v>
      </c>
      <c r="E128" s="32" t="str">
        <f>B128&amp;" Mastery "&amp;INDEX(Tiers!$B$2:$B$6,MATCH(D128,Tiers!$A$2:$A$6,0))</f>
        <v>Hammer Mastery 0</v>
      </c>
      <c r="F128" s="34" t="s">
        <v>795</v>
      </c>
      <c r="G128" s="32" t="s">
        <v>68</v>
      </c>
      <c r="H128" s="32" t="s">
        <v>25</v>
      </c>
      <c r="I128" s="32" t="s">
        <v>786</v>
      </c>
      <c r="J128" s="35" t="s">
        <v>796</v>
      </c>
      <c r="K128" s="32" t="s">
        <v>789</v>
      </c>
      <c r="L128" s="32" t="s">
        <v>797</v>
      </c>
      <c r="M128" s="34" t="s">
        <v>50</v>
      </c>
      <c r="N128" s="32" t="s">
        <v>508</v>
      </c>
      <c r="O128" s="36">
        <v>8</v>
      </c>
      <c r="P128" s="36">
        <v>5</v>
      </c>
      <c r="Q128" s="36">
        <v>0.2</v>
      </c>
      <c r="R128" s="36">
        <v>50</v>
      </c>
      <c r="S128" s="32" t="s">
        <v>792</v>
      </c>
      <c r="T128" s="32"/>
      <c r="U128" s="32" t="s">
        <v>970</v>
      </c>
      <c r="V128" s="32">
        <v>1.5</v>
      </c>
      <c r="W128" s="32" t="s">
        <v>982</v>
      </c>
      <c r="X128" s="32" t="s">
        <v>1015</v>
      </c>
    </row>
    <row r="129" spans="1:24" ht="42.75" x14ac:dyDescent="0.25">
      <c r="A129" s="32" t="s">
        <v>798</v>
      </c>
      <c r="B129" s="32" t="s">
        <v>786</v>
      </c>
      <c r="C129" s="32" t="s">
        <v>799</v>
      </c>
      <c r="D129" s="33">
        <v>1</v>
      </c>
      <c r="E129" s="32" t="str">
        <f>B129&amp;" Mastery "&amp;INDEX(Tiers!$B$2:$B$6,MATCH(D129,Tiers!$A$2:$A$6,0))</f>
        <v>Hammer Mastery 0</v>
      </c>
      <c r="F129" s="34" t="s">
        <v>800</v>
      </c>
      <c r="G129" s="32" t="s">
        <v>47</v>
      </c>
      <c r="H129" s="32" t="s">
        <v>25</v>
      </c>
      <c r="I129" s="32" t="s">
        <v>786</v>
      </c>
      <c r="J129" s="35" t="s">
        <v>801</v>
      </c>
      <c r="K129" s="32" t="s">
        <v>802</v>
      </c>
      <c r="L129" s="32" t="s">
        <v>803</v>
      </c>
      <c r="M129" s="34" t="s">
        <v>50</v>
      </c>
      <c r="N129" s="32" t="s">
        <v>51</v>
      </c>
      <c r="O129" s="36">
        <v>20</v>
      </c>
      <c r="P129" s="36">
        <v>5</v>
      </c>
      <c r="Q129" s="36">
        <v>0.4</v>
      </c>
      <c r="R129" s="36">
        <v>50</v>
      </c>
      <c r="S129" s="32" t="s">
        <v>804</v>
      </c>
      <c r="T129" s="32"/>
      <c r="U129" s="32" t="s">
        <v>985</v>
      </c>
      <c r="V129" s="32"/>
      <c r="W129" s="32"/>
      <c r="X129" s="32"/>
    </row>
    <row r="130" spans="1:24" ht="42.75" x14ac:dyDescent="0.25">
      <c r="A130" s="32" t="s">
        <v>805</v>
      </c>
      <c r="B130" s="32" t="s">
        <v>786</v>
      </c>
      <c r="C130" s="32" t="s">
        <v>787</v>
      </c>
      <c r="D130" s="33">
        <v>1</v>
      </c>
      <c r="E130" s="32" t="str">
        <f>B130&amp;" Mastery "&amp;INDEX(Tiers!$B$2:$B$6,MATCH(D130,Tiers!$A$2:$A$6,0))</f>
        <v>Hammer Mastery 0</v>
      </c>
      <c r="F130" s="34" t="s">
        <v>806</v>
      </c>
      <c r="G130" s="32" t="s">
        <v>68</v>
      </c>
      <c r="H130" s="32" t="s">
        <v>25</v>
      </c>
      <c r="I130" s="32" t="s">
        <v>786</v>
      </c>
      <c r="J130" s="35" t="s">
        <v>807</v>
      </c>
      <c r="K130" s="32" t="s">
        <v>789</v>
      </c>
      <c r="L130" s="32" t="s">
        <v>808</v>
      </c>
      <c r="M130" s="34" t="s">
        <v>43</v>
      </c>
      <c r="N130" s="32" t="s">
        <v>809</v>
      </c>
      <c r="O130" s="36">
        <v>6</v>
      </c>
      <c r="P130" s="36">
        <v>5</v>
      </c>
      <c r="Q130" s="36">
        <v>0.2</v>
      </c>
      <c r="R130" s="36">
        <v>50</v>
      </c>
      <c r="S130" s="32" t="s">
        <v>792</v>
      </c>
      <c r="T130" s="32"/>
      <c r="U130" s="32" t="s">
        <v>985</v>
      </c>
      <c r="V130" s="32"/>
      <c r="W130" s="32"/>
      <c r="X130" s="32"/>
    </row>
    <row r="131" spans="1:24" ht="42.75" x14ac:dyDescent="0.25">
      <c r="A131" s="32" t="s">
        <v>810</v>
      </c>
      <c r="B131" s="32" t="s">
        <v>786</v>
      </c>
      <c r="C131" s="32" t="s">
        <v>794</v>
      </c>
      <c r="D131" s="33">
        <v>2</v>
      </c>
      <c r="E131" s="32" t="str">
        <f>B131&amp;" Mastery "&amp;INDEX(Tiers!$B$2:$B$6,MATCH(D131,Tiers!$A$2:$A$6,0))</f>
        <v>Hammer Mastery 150</v>
      </c>
      <c r="F131" s="34" t="s">
        <v>811</v>
      </c>
      <c r="G131" s="32" t="s">
        <v>68</v>
      </c>
      <c r="H131" s="32" t="s">
        <v>795</v>
      </c>
      <c r="I131" s="32" t="s">
        <v>786</v>
      </c>
      <c r="J131" s="35" t="s">
        <v>812</v>
      </c>
      <c r="K131" s="32" t="s">
        <v>789</v>
      </c>
      <c r="L131" s="32" t="s">
        <v>813</v>
      </c>
      <c r="M131" s="34" t="s">
        <v>43</v>
      </c>
      <c r="N131" s="32" t="s">
        <v>814</v>
      </c>
      <c r="O131" s="36">
        <v>12</v>
      </c>
      <c r="P131" s="36">
        <v>10</v>
      </c>
      <c r="Q131" s="36">
        <v>0.6</v>
      </c>
      <c r="R131" s="36">
        <v>70</v>
      </c>
      <c r="S131" s="32" t="s">
        <v>815</v>
      </c>
      <c r="T131" s="32"/>
      <c r="U131" s="32" t="s">
        <v>985</v>
      </c>
      <c r="V131" s="32"/>
      <c r="W131" s="32"/>
      <c r="X131" s="32"/>
    </row>
    <row r="132" spans="1:24" ht="42.75" x14ac:dyDescent="0.25">
      <c r="A132" s="32" t="s">
        <v>816</v>
      </c>
      <c r="B132" s="32" t="s">
        <v>786</v>
      </c>
      <c r="C132" s="32" t="s">
        <v>787</v>
      </c>
      <c r="D132" s="33">
        <v>2</v>
      </c>
      <c r="E132" s="32" t="str">
        <f>B132&amp;" Mastery "&amp;INDEX(Tiers!$B$2:$B$6,MATCH(D132,Tiers!$A$2:$A$6,0))</f>
        <v>Hammer Mastery 150</v>
      </c>
      <c r="F132" s="34" t="s">
        <v>817</v>
      </c>
      <c r="G132" s="32" t="s">
        <v>363</v>
      </c>
      <c r="H132" s="32" t="s">
        <v>787</v>
      </c>
      <c r="I132" s="32" t="s">
        <v>786</v>
      </c>
      <c r="J132" s="35" t="s">
        <v>818</v>
      </c>
      <c r="K132" s="32" t="s">
        <v>789</v>
      </c>
      <c r="L132" s="32" t="s">
        <v>819</v>
      </c>
      <c r="M132" s="34" t="s">
        <v>30</v>
      </c>
      <c r="N132" s="32" t="s">
        <v>791</v>
      </c>
      <c r="O132" s="36">
        <v>14</v>
      </c>
      <c r="P132" s="36">
        <v>10</v>
      </c>
      <c r="Q132" s="36">
        <v>0.6</v>
      </c>
      <c r="R132" s="36">
        <v>70</v>
      </c>
      <c r="S132" s="32" t="s">
        <v>815</v>
      </c>
      <c r="T132" s="32"/>
      <c r="U132" s="32" t="s">
        <v>985</v>
      </c>
      <c r="V132" s="32"/>
      <c r="W132" s="32"/>
      <c r="X132" s="32"/>
    </row>
    <row r="133" spans="1:24" ht="42.75" x14ac:dyDescent="0.25">
      <c r="A133" s="32" t="s">
        <v>820</v>
      </c>
      <c r="B133" s="32" t="s">
        <v>786</v>
      </c>
      <c r="C133" s="32" t="s">
        <v>794</v>
      </c>
      <c r="D133" s="33">
        <v>2</v>
      </c>
      <c r="E133" s="32" t="str">
        <f>B133&amp;" Mastery "&amp;INDEX(Tiers!$B$2:$B$6,MATCH(D133,Tiers!$A$2:$A$6,0))</f>
        <v>Hammer Mastery 150</v>
      </c>
      <c r="F133" s="34" t="s">
        <v>821</v>
      </c>
      <c r="G133" s="32" t="s">
        <v>822</v>
      </c>
      <c r="H133" s="32" t="s">
        <v>795</v>
      </c>
      <c r="I133" s="32" t="s">
        <v>786</v>
      </c>
      <c r="J133" s="35" t="s">
        <v>823</v>
      </c>
      <c r="K133" s="32" t="s">
        <v>789</v>
      </c>
      <c r="L133" s="32" t="s">
        <v>824</v>
      </c>
      <c r="M133" s="34" t="s">
        <v>58</v>
      </c>
      <c r="N133" s="32" t="s">
        <v>825</v>
      </c>
      <c r="O133" s="36">
        <v>15</v>
      </c>
      <c r="P133" s="36">
        <v>10</v>
      </c>
      <c r="Q133" s="36">
        <v>0.6</v>
      </c>
      <c r="R133" s="36">
        <v>70</v>
      </c>
      <c r="S133" s="32" t="s">
        <v>815</v>
      </c>
      <c r="T133" s="32"/>
      <c r="U133" s="32" t="s">
        <v>985</v>
      </c>
      <c r="V133" s="32"/>
      <c r="W133" s="32"/>
      <c r="X133" s="32"/>
    </row>
    <row r="134" spans="1:24" ht="42.75" x14ac:dyDescent="0.25">
      <c r="A134" s="32" t="s">
        <v>826</v>
      </c>
      <c r="B134" s="32" t="s">
        <v>786</v>
      </c>
      <c r="C134" s="32" t="s">
        <v>787</v>
      </c>
      <c r="D134" s="33">
        <v>2</v>
      </c>
      <c r="E134" s="32" t="str">
        <f>B134&amp;" Mastery "&amp;INDEX(Tiers!$B$2:$B$6,MATCH(D134,Tiers!$A$2:$A$6,0))</f>
        <v>Hammer Mastery 150</v>
      </c>
      <c r="F134" s="34" t="s">
        <v>827</v>
      </c>
      <c r="G134" s="32" t="s">
        <v>828</v>
      </c>
      <c r="H134" s="32" t="s">
        <v>806</v>
      </c>
      <c r="I134" s="32" t="s">
        <v>786</v>
      </c>
      <c r="J134" s="35" t="s">
        <v>829</v>
      </c>
      <c r="K134" s="32" t="s">
        <v>789</v>
      </c>
      <c r="L134" s="32" t="s">
        <v>830</v>
      </c>
      <c r="M134" s="34" t="s">
        <v>43</v>
      </c>
      <c r="N134" s="32" t="s">
        <v>831</v>
      </c>
      <c r="O134" s="36">
        <v>10</v>
      </c>
      <c r="P134" s="36">
        <v>10</v>
      </c>
      <c r="Q134" s="36">
        <v>0.6</v>
      </c>
      <c r="R134" s="36">
        <v>70</v>
      </c>
      <c r="S134" s="32" t="s">
        <v>815</v>
      </c>
      <c r="T134" s="32"/>
      <c r="U134" s="32" t="s">
        <v>985</v>
      </c>
      <c r="V134" s="32"/>
      <c r="W134" s="32"/>
      <c r="X134" s="32"/>
    </row>
    <row r="135" spans="1:24" ht="42.75" x14ac:dyDescent="0.25">
      <c r="A135" s="32" t="s">
        <v>832</v>
      </c>
      <c r="B135" s="32" t="s">
        <v>786</v>
      </c>
      <c r="C135" s="32" t="s">
        <v>799</v>
      </c>
      <c r="D135" s="33">
        <v>2</v>
      </c>
      <c r="E135" s="32" t="str">
        <f>B135&amp;" Mastery "&amp;INDEX(Tiers!$B$2:$B$6,MATCH(D135,Tiers!$A$2:$A$6,0))</f>
        <v>Hammer Mastery 150</v>
      </c>
      <c r="F135" s="34" t="s">
        <v>833</v>
      </c>
      <c r="G135" s="32" t="s">
        <v>47</v>
      </c>
      <c r="H135" s="32" t="s">
        <v>800</v>
      </c>
      <c r="I135" s="32" t="s">
        <v>786</v>
      </c>
      <c r="J135" s="35" t="s">
        <v>834</v>
      </c>
      <c r="K135" s="32" t="s">
        <v>789</v>
      </c>
      <c r="L135" s="32" t="s">
        <v>835</v>
      </c>
      <c r="M135" s="34" t="s">
        <v>50</v>
      </c>
      <c r="N135" s="32" t="s">
        <v>51</v>
      </c>
      <c r="O135" s="36">
        <v>20</v>
      </c>
      <c r="P135" s="36">
        <v>10</v>
      </c>
      <c r="Q135" s="36">
        <v>0.6</v>
      </c>
      <c r="R135" s="36">
        <v>70</v>
      </c>
      <c r="S135" s="32" t="s">
        <v>815</v>
      </c>
      <c r="T135" s="32"/>
      <c r="U135" s="32" t="s">
        <v>985</v>
      </c>
      <c r="V135" s="32"/>
      <c r="W135" s="32"/>
      <c r="X135" s="32"/>
    </row>
    <row r="136" spans="1:24" ht="42.75" x14ac:dyDescent="0.25">
      <c r="A136" s="32" t="s">
        <v>836</v>
      </c>
      <c r="B136" s="32" t="s">
        <v>786</v>
      </c>
      <c r="C136" s="32" t="s">
        <v>794</v>
      </c>
      <c r="D136" s="33">
        <v>3</v>
      </c>
      <c r="E136" s="32" t="str">
        <f>B136&amp;" Mastery "&amp;INDEX(Tiers!$B$2:$B$6,MATCH(D136,Tiers!$A$2:$A$6,0))</f>
        <v>Hammer Mastery 350</v>
      </c>
      <c r="F136" s="34" t="s">
        <v>837</v>
      </c>
      <c r="G136" s="32" t="s">
        <v>280</v>
      </c>
      <c r="H136" s="32" t="s">
        <v>821</v>
      </c>
      <c r="I136" s="32" t="s">
        <v>786</v>
      </c>
      <c r="J136" s="35" t="s">
        <v>838</v>
      </c>
      <c r="K136" s="32" t="s">
        <v>789</v>
      </c>
      <c r="L136" s="32" t="s">
        <v>839</v>
      </c>
      <c r="M136" s="34" t="s">
        <v>58</v>
      </c>
      <c r="N136" s="32" t="s">
        <v>840</v>
      </c>
      <c r="O136" s="36">
        <v>20</v>
      </c>
      <c r="P136" s="36">
        <v>15</v>
      </c>
      <c r="Q136" s="36">
        <v>0.8</v>
      </c>
      <c r="R136" s="36">
        <v>100</v>
      </c>
      <c r="S136" s="32" t="s">
        <v>841</v>
      </c>
      <c r="T136" s="32"/>
      <c r="U136" s="32" t="s">
        <v>985</v>
      </c>
      <c r="V136" s="32"/>
      <c r="W136" s="32"/>
      <c r="X136" s="32"/>
    </row>
    <row r="137" spans="1:24" ht="42.75" x14ac:dyDescent="0.25">
      <c r="A137" s="32" t="s">
        <v>842</v>
      </c>
      <c r="B137" s="32" t="s">
        <v>786</v>
      </c>
      <c r="C137" s="32" t="s">
        <v>787</v>
      </c>
      <c r="D137" s="33">
        <v>3</v>
      </c>
      <c r="E137" s="32" t="str">
        <f>B137&amp;" Mastery "&amp;INDEX(Tiers!$B$2:$B$6,MATCH(D137,Tiers!$A$2:$A$6,0))</f>
        <v>Hammer Mastery 350</v>
      </c>
      <c r="F137" s="34" t="s">
        <v>843</v>
      </c>
      <c r="G137" s="32" t="s">
        <v>68</v>
      </c>
      <c r="H137" s="32" t="s">
        <v>827</v>
      </c>
      <c r="I137" s="32" t="s">
        <v>786</v>
      </c>
      <c r="J137" s="35" t="s">
        <v>844</v>
      </c>
      <c r="K137" s="32" t="s">
        <v>789</v>
      </c>
      <c r="L137" s="32" t="s">
        <v>845</v>
      </c>
      <c r="M137" s="34" t="s">
        <v>50</v>
      </c>
      <c r="N137" s="32" t="s">
        <v>206</v>
      </c>
      <c r="O137" s="36">
        <v>16</v>
      </c>
      <c r="P137" s="36">
        <v>15</v>
      </c>
      <c r="Q137" s="36">
        <v>0.8</v>
      </c>
      <c r="R137" s="36">
        <v>100</v>
      </c>
      <c r="S137" s="32" t="s">
        <v>841</v>
      </c>
      <c r="T137" s="32"/>
      <c r="U137" s="32" t="s">
        <v>985</v>
      </c>
      <c r="V137" s="32"/>
      <c r="W137" s="32"/>
      <c r="X137" s="32"/>
    </row>
    <row r="138" spans="1:24" ht="42.75" x14ac:dyDescent="0.25">
      <c r="A138" s="32" t="s">
        <v>846</v>
      </c>
      <c r="B138" s="32" t="s">
        <v>786</v>
      </c>
      <c r="C138" s="32" t="s">
        <v>787</v>
      </c>
      <c r="D138" s="33">
        <v>3</v>
      </c>
      <c r="E138" s="32" t="str">
        <f>B138&amp;" Mastery "&amp;INDEX(Tiers!$B$2:$B$6,MATCH(D138,Tiers!$A$2:$A$6,0))</f>
        <v>Hammer Mastery 350</v>
      </c>
      <c r="F138" s="34" t="s">
        <v>847</v>
      </c>
      <c r="G138" s="32" t="s">
        <v>102</v>
      </c>
      <c r="H138" s="32" t="s">
        <v>817</v>
      </c>
      <c r="I138" s="32" t="s">
        <v>786</v>
      </c>
      <c r="J138" s="35" t="s">
        <v>848</v>
      </c>
      <c r="K138" s="32" t="s">
        <v>789</v>
      </c>
      <c r="L138" s="32" t="s">
        <v>849</v>
      </c>
      <c r="M138" s="34" t="s">
        <v>43</v>
      </c>
      <c r="N138" s="32" t="s">
        <v>850</v>
      </c>
      <c r="O138" s="36">
        <v>18</v>
      </c>
      <c r="P138" s="36">
        <v>15</v>
      </c>
      <c r="Q138" s="36">
        <v>0.8</v>
      </c>
      <c r="R138" s="36">
        <v>100</v>
      </c>
      <c r="S138" s="32" t="s">
        <v>841</v>
      </c>
      <c r="T138" s="32"/>
      <c r="U138" s="32" t="s">
        <v>985</v>
      </c>
      <c r="V138" s="32"/>
      <c r="W138" s="32"/>
      <c r="X138" s="32"/>
    </row>
    <row r="139" spans="1:24" ht="42.75" x14ac:dyDescent="0.25">
      <c r="A139" s="32" t="s">
        <v>851</v>
      </c>
      <c r="B139" s="32" t="s">
        <v>786</v>
      </c>
      <c r="C139" s="32" t="s">
        <v>794</v>
      </c>
      <c r="D139" s="33">
        <v>3</v>
      </c>
      <c r="E139" s="32" t="str">
        <f>B139&amp;" Mastery "&amp;INDEX(Tiers!$B$2:$B$6,MATCH(D139,Tiers!$A$2:$A$6,0))</f>
        <v>Hammer Mastery 350</v>
      </c>
      <c r="F139" s="34" t="s">
        <v>852</v>
      </c>
      <c r="G139" s="32" t="s">
        <v>828</v>
      </c>
      <c r="H139" s="32" t="s">
        <v>853</v>
      </c>
      <c r="I139" s="32" t="s">
        <v>786</v>
      </c>
      <c r="J139" s="35" t="s">
        <v>854</v>
      </c>
      <c r="K139" s="32" t="s">
        <v>789</v>
      </c>
      <c r="L139" s="32" t="s">
        <v>855</v>
      </c>
      <c r="M139" s="34" t="s">
        <v>58</v>
      </c>
      <c r="N139" s="32" t="s">
        <v>856</v>
      </c>
      <c r="O139" s="36">
        <v>25</v>
      </c>
      <c r="P139" s="36">
        <v>15</v>
      </c>
      <c r="Q139" s="36">
        <v>0.8</v>
      </c>
      <c r="R139" s="36">
        <v>100</v>
      </c>
      <c r="S139" s="32" t="s">
        <v>841</v>
      </c>
      <c r="T139" s="32"/>
      <c r="U139" s="32" t="s">
        <v>985</v>
      </c>
      <c r="V139" s="32"/>
      <c r="W139" s="32"/>
      <c r="X139" s="32"/>
    </row>
    <row r="140" spans="1:24" ht="42.75" x14ac:dyDescent="0.25">
      <c r="A140" s="32" t="s">
        <v>857</v>
      </c>
      <c r="B140" s="32" t="s">
        <v>786</v>
      </c>
      <c r="C140" s="32" t="s">
        <v>799</v>
      </c>
      <c r="D140" s="33">
        <v>3</v>
      </c>
      <c r="E140" s="32" t="str">
        <f>B140&amp;" Mastery "&amp;INDEX(Tiers!$B$2:$B$6,MATCH(D140,Tiers!$A$2:$A$6,0))</f>
        <v>Hammer Mastery 350</v>
      </c>
      <c r="F140" s="34" t="s">
        <v>858</v>
      </c>
      <c r="G140" s="32" t="s">
        <v>47</v>
      </c>
      <c r="H140" s="32" t="s">
        <v>833</v>
      </c>
      <c r="I140" s="32" t="s">
        <v>786</v>
      </c>
      <c r="J140" s="35" t="s">
        <v>859</v>
      </c>
      <c r="K140" s="32" t="s">
        <v>860</v>
      </c>
      <c r="L140" s="32" t="s">
        <v>861</v>
      </c>
      <c r="M140" s="34" t="s">
        <v>50</v>
      </c>
      <c r="N140" s="32" t="s">
        <v>51</v>
      </c>
      <c r="O140" s="36">
        <v>40</v>
      </c>
      <c r="P140" s="36">
        <v>15</v>
      </c>
      <c r="Q140" s="36">
        <v>1.6</v>
      </c>
      <c r="R140" s="36">
        <v>100</v>
      </c>
      <c r="S140" s="32" t="s">
        <v>862</v>
      </c>
      <c r="T140" s="32"/>
      <c r="U140" s="32" t="s">
        <v>985</v>
      </c>
      <c r="V140" s="32"/>
      <c r="W140" s="32"/>
      <c r="X140" s="32"/>
    </row>
    <row r="141" spans="1:24" ht="42.75" x14ac:dyDescent="0.25">
      <c r="A141" s="32" t="s">
        <v>863</v>
      </c>
      <c r="B141" s="32" t="s">
        <v>786</v>
      </c>
      <c r="C141" s="32" t="s">
        <v>794</v>
      </c>
      <c r="D141" s="33">
        <v>4</v>
      </c>
      <c r="E141" s="32" t="str">
        <f>B141&amp;" Mastery "&amp;INDEX(Tiers!$B$2:$B$6,MATCH(D141,Tiers!$A$2:$A$6,0))</f>
        <v>Hammer Mastery 600</v>
      </c>
      <c r="F141" s="34" t="s">
        <v>864</v>
      </c>
      <c r="G141" s="32" t="s">
        <v>822</v>
      </c>
      <c r="H141" s="32" t="s">
        <v>837</v>
      </c>
      <c r="I141" s="32" t="s">
        <v>786</v>
      </c>
      <c r="J141" s="35" t="s">
        <v>865</v>
      </c>
      <c r="K141" s="32" t="s">
        <v>789</v>
      </c>
      <c r="L141" s="32" t="s">
        <v>866</v>
      </c>
      <c r="M141" s="34" t="s">
        <v>58</v>
      </c>
      <c r="N141" s="32" t="s">
        <v>867</v>
      </c>
      <c r="O141" s="36">
        <v>30</v>
      </c>
      <c r="P141" s="36">
        <v>25</v>
      </c>
      <c r="Q141" s="36">
        <v>2</v>
      </c>
      <c r="R141" s="36">
        <v>150</v>
      </c>
      <c r="S141" s="32" t="s">
        <v>868</v>
      </c>
      <c r="T141" s="32"/>
      <c r="U141" s="32" t="s">
        <v>985</v>
      </c>
      <c r="V141" s="32"/>
      <c r="W141" s="32"/>
      <c r="X141" s="32"/>
    </row>
    <row r="142" spans="1:24" ht="42.75" x14ac:dyDescent="0.25">
      <c r="A142" s="32" t="s">
        <v>869</v>
      </c>
      <c r="B142" s="32" t="s">
        <v>786</v>
      </c>
      <c r="C142" s="32" t="s">
        <v>794</v>
      </c>
      <c r="D142" s="33">
        <v>4</v>
      </c>
      <c r="E142" s="32" t="str">
        <f>B142&amp;" Mastery "&amp;INDEX(Tiers!$B$2:$B$6,MATCH(D142,Tiers!$A$2:$A$6,0))</f>
        <v>Hammer Mastery 600</v>
      </c>
      <c r="F142" s="34" t="s">
        <v>870</v>
      </c>
      <c r="G142" s="32" t="s">
        <v>68</v>
      </c>
      <c r="H142" s="32" t="s">
        <v>811</v>
      </c>
      <c r="I142" s="32" t="s">
        <v>786</v>
      </c>
      <c r="J142" s="35" t="s">
        <v>870</v>
      </c>
      <c r="K142" s="32" t="s">
        <v>789</v>
      </c>
      <c r="L142" s="32" t="s">
        <v>871</v>
      </c>
      <c r="M142" s="34" t="s">
        <v>43</v>
      </c>
      <c r="N142" s="32" t="s">
        <v>872</v>
      </c>
      <c r="O142" s="36">
        <v>25</v>
      </c>
      <c r="P142" s="36">
        <v>25</v>
      </c>
      <c r="Q142" s="36">
        <v>1</v>
      </c>
      <c r="R142" s="36">
        <v>150</v>
      </c>
      <c r="S142" s="32" t="s">
        <v>873</v>
      </c>
      <c r="T142" s="32"/>
      <c r="U142" s="32" t="s">
        <v>985</v>
      </c>
      <c r="V142" s="32"/>
      <c r="W142" s="32"/>
      <c r="X142" s="32"/>
    </row>
    <row r="143" spans="1:24" ht="42.75" x14ac:dyDescent="0.25">
      <c r="A143" s="32" t="s">
        <v>874</v>
      </c>
      <c r="B143" s="32" t="s">
        <v>786</v>
      </c>
      <c r="C143" s="32" t="s">
        <v>787</v>
      </c>
      <c r="D143" s="33">
        <v>4</v>
      </c>
      <c r="E143" s="32" t="str">
        <f>B143&amp;" Mastery "&amp;INDEX(Tiers!$B$2:$B$6,MATCH(D143,Tiers!$A$2:$A$6,0))</f>
        <v>Hammer Mastery 600</v>
      </c>
      <c r="F143" s="34" t="s">
        <v>875</v>
      </c>
      <c r="G143" s="32" t="s">
        <v>828</v>
      </c>
      <c r="H143" s="32" t="s">
        <v>876</v>
      </c>
      <c r="I143" s="32" t="s">
        <v>786</v>
      </c>
      <c r="J143" s="35" t="s">
        <v>877</v>
      </c>
      <c r="K143" s="32" t="s">
        <v>789</v>
      </c>
      <c r="L143" s="32" t="s">
        <v>878</v>
      </c>
      <c r="M143" s="34" t="s">
        <v>50</v>
      </c>
      <c r="N143" s="32" t="s">
        <v>206</v>
      </c>
      <c r="O143" s="36">
        <v>25</v>
      </c>
      <c r="P143" s="36">
        <v>25</v>
      </c>
      <c r="Q143" s="36">
        <v>1</v>
      </c>
      <c r="R143" s="36">
        <v>150</v>
      </c>
      <c r="S143" s="32" t="s">
        <v>873</v>
      </c>
      <c r="T143" s="32"/>
      <c r="U143" s="32" t="s">
        <v>985</v>
      </c>
      <c r="V143" s="32"/>
      <c r="W143" s="32"/>
      <c r="X143" s="32"/>
    </row>
    <row r="144" spans="1:24" ht="42.75" x14ac:dyDescent="0.25">
      <c r="A144" s="32" t="s">
        <v>879</v>
      </c>
      <c r="B144" s="32" t="s">
        <v>786</v>
      </c>
      <c r="C144" s="32" t="s">
        <v>799</v>
      </c>
      <c r="D144" s="33">
        <v>4</v>
      </c>
      <c r="E144" s="32" t="str">
        <f>B144&amp;" Mastery "&amp;INDEX(Tiers!$B$2:$B$6,MATCH(D144,Tiers!$A$2:$A$6,0))</f>
        <v>Hammer Mastery 600</v>
      </c>
      <c r="F144" s="34" t="s">
        <v>880</v>
      </c>
      <c r="G144" s="32" t="s">
        <v>881</v>
      </c>
      <c r="H144" s="32" t="s">
        <v>858</v>
      </c>
      <c r="I144" s="32" t="s">
        <v>786</v>
      </c>
      <c r="J144" s="35" t="s">
        <v>882</v>
      </c>
      <c r="K144" s="32" t="s">
        <v>789</v>
      </c>
      <c r="L144" s="32" t="s">
        <v>883</v>
      </c>
      <c r="M144" s="34" t="s">
        <v>58</v>
      </c>
      <c r="N144" s="32" t="s">
        <v>884</v>
      </c>
      <c r="O144" s="36">
        <v>25</v>
      </c>
      <c r="P144" s="36">
        <v>25</v>
      </c>
      <c r="Q144" s="36">
        <v>1</v>
      </c>
      <c r="R144" s="36">
        <v>150</v>
      </c>
      <c r="S144" s="32" t="s">
        <v>873</v>
      </c>
      <c r="T144" s="32"/>
      <c r="U144" s="32" t="s">
        <v>985</v>
      </c>
      <c r="V144" s="32"/>
      <c r="W144" s="32"/>
      <c r="X144" s="32"/>
    </row>
    <row r="145" spans="1:24" ht="42.75" x14ac:dyDescent="0.25">
      <c r="A145" s="32" t="s">
        <v>885</v>
      </c>
      <c r="B145" s="32" t="s">
        <v>786</v>
      </c>
      <c r="C145" s="32" t="s">
        <v>794</v>
      </c>
      <c r="D145" s="33">
        <v>5</v>
      </c>
      <c r="E145" s="32" t="str">
        <f>B145&amp;" Mastery "&amp;INDEX(Tiers!$B$2:$B$6,MATCH(D145,Tiers!$A$2:$A$6,0))</f>
        <v>Hammer Mastery 900</v>
      </c>
      <c r="F145" s="34" t="s">
        <v>886</v>
      </c>
      <c r="G145" s="32" t="s">
        <v>68</v>
      </c>
      <c r="H145" s="32" t="s">
        <v>887</v>
      </c>
      <c r="I145" s="32" t="s">
        <v>786</v>
      </c>
      <c r="J145" s="35" t="s">
        <v>886</v>
      </c>
      <c r="K145" s="32" t="s">
        <v>789</v>
      </c>
      <c r="L145" s="32" t="s">
        <v>888</v>
      </c>
      <c r="M145" s="34" t="s">
        <v>58</v>
      </c>
      <c r="N145" s="32" t="s">
        <v>889</v>
      </c>
      <c r="O145" s="36">
        <v>90</v>
      </c>
      <c r="P145" s="36">
        <v>50</v>
      </c>
      <c r="Q145" s="36">
        <v>10</v>
      </c>
      <c r="R145" s="36">
        <v>200</v>
      </c>
      <c r="S145" s="32" t="s">
        <v>890</v>
      </c>
      <c r="T145" s="32"/>
      <c r="U145" s="32" t="s">
        <v>985</v>
      </c>
      <c r="V145" s="32"/>
      <c r="W145" s="32"/>
      <c r="X145" s="32"/>
    </row>
    <row r="146" spans="1:24" ht="42.75" x14ac:dyDescent="0.25">
      <c r="A146" s="32" t="s">
        <v>891</v>
      </c>
      <c r="B146" s="32" t="s">
        <v>786</v>
      </c>
      <c r="C146" s="32" t="s">
        <v>799</v>
      </c>
      <c r="D146" s="33">
        <v>5</v>
      </c>
      <c r="E146" s="32" t="str">
        <f>B146&amp;" Mastery "&amp;INDEX(Tiers!$B$2:$B$6,MATCH(D146,Tiers!$A$2:$A$6,0))</f>
        <v>Hammer Mastery 900</v>
      </c>
      <c r="F146" s="34" t="s">
        <v>892</v>
      </c>
      <c r="G146" s="32" t="s">
        <v>47</v>
      </c>
      <c r="H146" s="32" t="s">
        <v>893</v>
      </c>
      <c r="I146" s="32" t="s">
        <v>786</v>
      </c>
      <c r="J146" s="35" t="s">
        <v>894</v>
      </c>
      <c r="K146" s="32" t="s">
        <v>789</v>
      </c>
      <c r="L146" s="32" t="s">
        <v>895</v>
      </c>
      <c r="M146" s="34" t="s">
        <v>50</v>
      </c>
      <c r="N146" s="32" t="s">
        <v>896</v>
      </c>
      <c r="O146" s="36">
        <v>120</v>
      </c>
      <c r="P146" s="36">
        <v>50</v>
      </c>
      <c r="Q146" s="36">
        <v>10</v>
      </c>
      <c r="R146" s="36">
        <v>200</v>
      </c>
      <c r="S146" s="32" t="s">
        <v>890</v>
      </c>
      <c r="T146" s="32"/>
      <c r="U146" s="32" t="s">
        <v>985</v>
      </c>
      <c r="V146" s="32"/>
      <c r="W146" s="32"/>
      <c r="X146" s="32"/>
    </row>
  </sheetData>
  <autoFilter ref="A1:T146" xr:uid="{00000000-0009-0000-0000-000000000000}"/>
  <dataValidations count="2">
    <dataValidation type="list" sqref="D2:D346" xr:uid="{00000000-0002-0000-0000-000000000000}">
      <formula1>"1,2,3,4,5"</formula1>
      <formula2>0</formula2>
    </dataValidation>
    <dataValidation type="list" sqref="B2:B346" xr:uid="{00000000-0002-0000-0000-000001000000}">
      <formula1>"Fire,Earth,Water,Air,Sword,Bow,Hammer"</formula1>
      <formula2>0</formula2>
    </dataValidation>
  </dataValidation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8"/>
  <sheetViews>
    <sheetView zoomScaleNormal="100" workbookViewId="0"/>
  </sheetViews>
  <sheetFormatPr defaultColWidth="8.7109375" defaultRowHeight="15" x14ac:dyDescent="0.25"/>
  <cols>
    <col min="1" max="1" width="8" customWidth="1"/>
    <col min="2" max="2" width="18" customWidth="1"/>
    <col min="3" max="3" width="64" customWidth="1"/>
  </cols>
  <sheetData>
    <row r="1" spans="1:3" x14ac:dyDescent="0.25">
      <c r="A1" s="37" t="s">
        <v>3</v>
      </c>
      <c r="B1" s="37" t="s">
        <v>4</v>
      </c>
      <c r="C1" s="37" t="s">
        <v>897</v>
      </c>
    </row>
    <row r="2" spans="1:3" x14ac:dyDescent="0.25">
      <c r="A2" s="38">
        <v>1</v>
      </c>
      <c r="B2" s="39">
        <v>0</v>
      </c>
      <c r="C2" s="38" t="s">
        <v>898</v>
      </c>
    </row>
    <row r="3" spans="1:3" x14ac:dyDescent="0.25">
      <c r="A3" s="38">
        <v>2</v>
      </c>
      <c r="B3" s="39">
        <v>150</v>
      </c>
      <c r="C3" s="38" t="s">
        <v>899</v>
      </c>
    </row>
    <row r="4" spans="1:3" x14ac:dyDescent="0.25">
      <c r="A4" s="38">
        <v>3</v>
      </c>
      <c r="B4" s="39">
        <v>350</v>
      </c>
      <c r="C4" s="38" t="s">
        <v>900</v>
      </c>
    </row>
    <row r="5" spans="1:3" x14ac:dyDescent="0.25">
      <c r="A5" s="38">
        <v>4</v>
      </c>
      <c r="B5" s="39">
        <v>600</v>
      </c>
      <c r="C5" s="38" t="s">
        <v>901</v>
      </c>
    </row>
    <row r="6" spans="1:3" x14ac:dyDescent="0.25">
      <c r="A6" s="38">
        <v>5</v>
      </c>
      <c r="B6" s="39">
        <v>900</v>
      </c>
      <c r="C6" s="38" t="s">
        <v>902</v>
      </c>
    </row>
    <row r="8" spans="1:3" x14ac:dyDescent="0.25">
      <c r="A8" s="40" t="s">
        <v>903</v>
      </c>
    </row>
  </sheetData>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K9"/>
  <sheetViews>
    <sheetView zoomScaleNormal="100" workbookViewId="0"/>
  </sheetViews>
  <sheetFormatPr defaultColWidth="8.7109375" defaultRowHeight="15" x14ac:dyDescent="0.25"/>
  <cols>
    <col min="1" max="1" width="12" customWidth="1"/>
    <col min="2" max="2" width="13" customWidth="1"/>
    <col min="3" max="3" width="20" customWidth="1"/>
    <col min="4" max="4" width="26" customWidth="1"/>
    <col min="5" max="5" width="40" customWidth="1"/>
    <col min="6" max="6" width="10" customWidth="1"/>
    <col min="7" max="11" width="8" customWidth="1"/>
  </cols>
  <sheetData>
    <row r="1" spans="1:11" x14ac:dyDescent="0.25">
      <c r="A1" s="37" t="s">
        <v>1</v>
      </c>
      <c r="B1" s="37" t="s">
        <v>8</v>
      </c>
      <c r="C1" s="37" t="s">
        <v>904</v>
      </c>
      <c r="D1" s="37" t="s">
        <v>905</v>
      </c>
      <c r="E1" s="37" t="s">
        <v>906</v>
      </c>
      <c r="F1" s="37" t="s">
        <v>907</v>
      </c>
      <c r="G1" s="37" t="s">
        <v>908</v>
      </c>
      <c r="H1" s="37" t="s">
        <v>909</v>
      </c>
      <c r="I1" s="37" t="s">
        <v>910</v>
      </c>
      <c r="J1" s="37" t="s">
        <v>911</v>
      </c>
      <c r="K1" s="37" t="s">
        <v>912</v>
      </c>
    </row>
    <row r="2" spans="1:11" x14ac:dyDescent="0.25">
      <c r="A2" s="41" t="s">
        <v>21</v>
      </c>
      <c r="B2" s="41" t="s">
        <v>26</v>
      </c>
      <c r="C2" s="41" t="s">
        <v>913</v>
      </c>
      <c r="D2" s="41" t="s">
        <v>914</v>
      </c>
      <c r="E2" s="41" t="s">
        <v>915</v>
      </c>
      <c r="F2" s="41">
        <f>COUNTIF(Abilities!$B:$B,A2)</f>
        <v>21</v>
      </c>
      <c r="G2" s="41">
        <f>COUNTIFS(Abilities!$B:$B,$A2,Abilities!$D:$D,1)</f>
        <v>4</v>
      </c>
      <c r="H2" s="41">
        <f>COUNTIFS(Abilities!$B:$B,$A2,Abilities!$D:$D,2)</f>
        <v>5</v>
      </c>
      <c r="I2" s="41">
        <f>COUNTIFS(Abilities!$B:$B,$A2,Abilities!$D:$D,3)</f>
        <v>5</v>
      </c>
      <c r="J2" s="41">
        <f>COUNTIFS(Abilities!$B:$B,$A2,Abilities!$D:$D,4)</f>
        <v>4</v>
      </c>
      <c r="K2" s="41">
        <f>COUNTIFS(Abilities!$B:$B,$A2,Abilities!$D:$D,5)</f>
        <v>3</v>
      </c>
    </row>
    <row r="3" spans="1:11" ht="28.5" x14ac:dyDescent="0.25">
      <c r="A3" s="41" t="s">
        <v>157</v>
      </c>
      <c r="B3" s="41" t="s">
        <v>26</v>
      </c>
      <c r="C3" s="41" t="s">
        <v>176</v>
      </c>
      <c r="D3" s="41" t="s">
        <v>916</v>
      </c>
      <c r="E3" s="41" t="s">
        <v>917</v>
      </c>
      <c r="F3" s="41">
        <f>COUNTIF(Abilities!$B:$B,A3)</f>
        <v>20</v>
      </c>
      <c r="G3" s="41">
        <f>COUNTIFS(Abilities!$B:$B,$A3,Abilities!$D:$D,1)</f>
        <v>4</v>
      </c>
      <c r="H3" s="41">
        <f>COUNTIFS(Abilities!$B:$B,$A3,Abilities!$D:$D,2)</f>
        <v>5</v>
      </c>
      <c r="I3" s="41">
        <f>COUNTIFS(Abilities!$B:$B,$A3,Abilities!$D:$D,3)</f>
        <v>5</v>
      </c>
      <c r="J3" s="41">
        <f>COUNTIFS(Abilities!$B:$B,$A3,Abilities!$D:$D,4)</f>
        <v>4</v>
      </c>
      <c r="K3" s="41">
        <f>COUNTIFS(Abilities!$B:$B,$A3,Abilities!$D:$D,5)</f>
        <v>2</v>
      </c>
    </row>
    <row r="4" spans="1:11" x14ac:dyDescent="0.25">
      <c r="A4" s="41" t="s">
        <v>286</v>
      </c>
      <c r="B4" s="41" t="s">
        <v>26</v>
      </c>
      <c r="C4" s="41" t="s">
        <v>371</v>
      </c>
      <c r="D4" s="41" t="s">
        <v>918</v>
      </c>
      <c r="E4" s="41" t="s">
        <v>919</v>
      </c>
      <c r="F4" s="41">
        <f>COUNTIF(Abilities!$B:$B,A4)</f>
        <v>23</v>
      </c>
      <c r="G4" s="41">
        <f>COUNTIFS(Abilities!$B:$B,$A4,Abilities!$D:$D,1)</f>
        <v>4</v>
      </c>
      <c r="H4" s="41">
        <f>COUNTIFS(Abilities!$B:$B,$A4,Abilities!$D:$D,2)</f>
        <v>5</v>
      </c>
      <c r="I4" s="41">
        <f>COUNTIFS(Abilities!$B:$B,$A4,Abilities!$D:$D,3)</f>
        <v>5</v>
      </c>
      <c r="J4" s="41">
        <f>COUNTIFS(Abilities!$B:$B,$A4,Abilities!$D:$D,4)</f>
        <v>6</v>
      </c>
      <c r="K4" s="41">
        <f>COUNTIFS(Abilities!$B:$B,$A4,Abilities!$D:$D,5)</f>
        <v>3</v>
      </c>
    </row>
    <row r="5" spans="1:11" x14ac:dyDescent="0.25">
      <c r="A5" s="41" t="s">
        <v>433</v>
      </c>
      <c r="B5" s="41" t="s">
        <v>26</v>
      </c>
      <c r="C5" s="41" t="s">
        <v>453</v>
      </c>
      <c r="D5" s="41" t="s">
        <v>920</v>
      </c>
      <c r="E5" s="41" t="s">
        <v>921</v>
      </c>
      <c r="F5" s="41">
        <f>COUNTIF(Abilities!$B:$B,A5)</f>
        <v>21</v>
      </c>
      <c r="G5" s="41">
        <f>COUNTIFS(Abilities!$B:$B,$A5,Abilities!$D:$D,1)</f>
        <v>4</v>
      </c>
      <c r="H5" s="41">
        <f>COUNTIFS(Abilities!$B:$B,$A5,Abilities!$D:$D,2)</f>
        <v>5</v>
      </c>
      <c r="I5" s="41">
        <f>COUNTIFS(Abilities!$B:$B,$A5,Abilities!$D:$D,3)</f>
        <v>5</v>
      </c>
      <c r="J5" s="41">
        <f>COUNTIFS(Abilities!$B:$B,$A5,Abilities!$D:$D,4)</f>
        <v>5</v>
      </c>
      <c r="K5" s="41">
        <f>COUNTIFS(Abilities!$B:$B,$A5,Abilities!$D:$D,5)</f>
        <v>2</v>
      </c>
    </row>
    <row r="6" spans="1:11" x14ac:dyDescent="0.25">
      <c r="A6" s="41" t="s">
        <v>554</v>
      </c>
      <c r="B6" s="41" t="s">
        <v>554</v>
      </c>
      <c r="C6" s="41" t="s">
        <v>605</v>
      </c>
      <c r="D6" s="41" t="s">
        <v>922</v>
      </c>
      <c r="E6" s="41" t="s">
        <v>923</v>
      </c>
      <c r="F6" s="41">
        <f>COUNTIF(Abilities!$B:$B,A6)</f>
        <v>20</v>
      </c>
      <c r="G6" s="41">
        <f>COUNTIFS(Abilities!$B:$B,$A6,Abilities!$D:$D,1)</f>
        <v>4</v>
      </c>
      <c r="H6" s="41">
        <f>COUNTIFS(Abilities!$B:$B,$A6,Abilities!$D:$D,2)</f>
        <v>5</v>
      </c>
      <c r="I6" s="41">
        <f>COUNTIFS(Abilities!$B:$B,$A6,Abilities!$D:$D,3)</f>
        <v>5</v>
      </c>
      <c r="J6" s="41">
        <f>COUNTIFS(Abilities!$B:$B,$A6,Abilities!$D:$D,4)</f>
        <v>4</v>
      </c>
      <c r="K6" s="41">
        <f>COUNTIFS(Abilities!$B:$B,$A6,Abilities!$D:$D,5)</f>
        <v>2</v>
      </c>
    </row>
    <row r="7" spans="1:11" x14ac:dyDescent="0.25">
      <c r="A7" s="41" t="s">
        <v>668</v>
      </c>
      <c r="B7" s="41" t="s">
        <v>668</v>
      </c>
      <c r="C7" s="41" t="s">
        <v>685</v>
      </c>
      <c r="D7" s="41" t="s">
        <v>924</v>
      </c>
      <c r="E7" s="41" t="s">
        <v>925</v>
      </c>
      <c r="F7" s="41">
        <f>COUNTIF(Abilities!$B:$B,A7)</f>
        <v>20</v>
      </c>
      <c r="G7" s="41">
        <f>COUNTIFS(Abilities!$B:$B,$A7,Abilities!$D:$D,1)</f>
        <v>4</v>
      </c>
      <c r="H7" s="41">
        <f>COUNTIFS(Abilities!$B:$B,$A7,Abilities!$D:$D,2)</f>
        <v>5</v>
      </c>
      <c r="I7" s="41">
        <f>COUNTIFS(Abilities!$B:$B,$A7,Abilities!$D:$D,3)</f>
        <v>5</v>
      </c>
      <c r="J7" s="41">
        <f>COUNTIFS(Abilities!$B:$B,$A7,Abilities!$D:$D,4)</f>
        <v>4</v>
      </c>
      <c r="K7" s="41">
        <f>COUNTIFS(Abilities!$B:$B,$A7,Abilities!$D:$D,5)</f>
        <v>2</v>
      </c>
    </row>
    <row r="8" spans="1:11" x14ac:dyDescent="0.25">
      <c r="A8" s="41" t="s">
        <v>786</v>
      </c>
      <c r="B8" s="41" t="s">
        <v>786</v>
      </c>
      <c r="C8" s="41" t="s">
        <v>860</v>
      </c>
      <c r="D8" s="41" t="s">
        <v>926</v>
      </c>
      <c r="E8" s="41" t="s">
        <v>927</v>
      </c>
      <c r="F8" s="41">
        <f>COUNTIF(Abilities!$B:$B,A8)</f>
        <v>20</v>
      </c>
      <c r="G8" s="41">
        <f>COUNTIFS(Abilities!$B:$B,$A8,Abilities!$D:$D,1)</f>
        <v>4</v>
      </c>
      <c r="H8" s="41">
        <f>COUNTIFS(Abilities!$B:$B,$A8,Abilities!$D:$D,2)</f>
        <v>5</v>
      </c>
      <c r="I8" s="41">
        <f>COUNTIFS(Abilities!$B:$B,$A8,Abilities!$D:$D,3)</f>
        <v>5</v>
      </c>
      <c r="J8" s="41">
        <f>COUNTIFS(Abilities!$B:$B,$A8,Abilities!$D:$D,4)</f>
        <v>4</v>
      </c>
      <c r="K8" s="41">
        <f>COUNTIFS(Abilities!$B:$B,$A8,Abilities!$D:$D,5)</f>
        <v>2</v>
      </c>
    </row>
    <row r="9" spans="1:11" x14ac:dyDescent="0.25">
      <c r="A9" s="42" t="s">
        <v>928</v>
      </c>
      <c r="B9" s="42"/>
      <c r="C9" s="42"/>
      <c r="D9" s="42"/>
      <c r="E9" s="42"/>
      <c r="F9" s="42">
        <f t="shared" ref="F9:K9" si="0">SUM(F2:F8)</f>
        <v>145</v>
      </c>
      <c r="G9" s="42">
        <f t="shared" si="0"/>
        <v>28</v>
      </c>
      <c r="H9" s="42">
        <f t="shared" si="0"/>
        <v>35</v>
      </c>
      <c r="I9" s="42">
        <f t="shared" si="0"/>
        <v>35</v>
      </c>
      <c r="J9" s="42">
        <f t="shared" si="0"/>
        <v>31</v>
      </c>
      <c r="K9" s="42">
        <f t="shared" si="0"/>
        <v>16</v>
      </c>
    </row>
  </sheetData>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25"/>
  <sheetViews>
    <sheetView zoomScaleNormal="100" workbookViewId="0"/>
  </sheetViews>
  <sheetFormatPr defaultColWidth="8.7109375" defaultRowHeight="15" x14ac:dyDescent="0.25"/>
  <cols>
    <col min="1" max="1" width="18" customWidth="1"/>
    <col min="2" max="2" width="100" customWidth="1"/>
  </cols>
  <sheetData>
    <row r="1" spans="1:2" x14ac:dyDescent="0.25">
      <c r="A1" s="43" t="s">
        <v>929</v>
      </c>
      <c r="B1" s="44"/>
    </row>
    <row r="2" spans="1:2" ht="28.5" x14ac:dyDescent="0.25">
      <c r="A2" s="45" t="s">
        <v>930</v>
      </c>
      <c r="B2" s="41" t="s">
        <v>931</v>
      </c>
    </row>
    <row r="3" spans="1:2" ht="28.5" x14ac:dyDescent="0.25">
      <c r="A3" s="45" t="s">
        <v>932</v>
      </c>
      <c r="B3" s="41" t="s">
        <v>933</v>
      </c>
    </row>
    <row r="4" spans="1:2" ht="28.5" x14ac:dyDescent="0.25">
      <c r="A4" s="45" t="s">
        <v>934</v>
      </c>
      <c r="B4" s="41" t="s">
        <v>935</v>
      </c>
    </row>
    <row r="5" spans="1:2" ht="28.5" x14ac:dyDescent="0.25">
      <c r="A5" s="45" t="s">
        <v>936</v>
      </c>
      <c r="B5" s="41" t="s">
        <v>937</v>
      </c>
    </row>
    <row r="6" spans="1:2" ht="28.5" x14ac:dyDescent="0.25">
      <c r="A6" s="45" t="s">
        <v>938</v>
      </c>
      <c r="B6" s="41" t="s">
        <v>939</v>
      </c>
    </row>
    <row r="7" spans="1:2" x14ac:dyDescent="0.25">
      <c r="A7" s="45"/>
      <c r="B7" s="41"/>
    </row>
    <row r="8" spans="1:2" x14ac:dyDescent="0.25">
      <c r="A8" s="43" t="s">
        <v>940</v>
      </c>
      <c r="B8" s="44"/>
    </row>
    <row r="9" spans="1:2" ht="28.5" x14ac:dyDescent="0.25">
      <c r="A9" s="45" t="s">
        <v>941</v>
      </c>
      <c r="B9" s="41" t="s">
        <v>942</v>
      </c>
    </row>
    <row r="10" spans="1:2" x14ac:dyDescent="0.25">
      <c r="A10" s="45" t="s">
        <v>7</v>
      </c>
      <c r="B10" s="41" t="s">
        <v>943</v>
      </c>
    </row>
    <row r="11" spans="1:2" x14ac:dyDescent="0.25">
      <c r="A11" s="45" t="s">
        <v>944</v>
      </c>
      <c r="B11" s="41" t="s">
        <v>945</v>
      </c>
    </row>
    <row r="12" spans="1:2" x14ac:dyDescent="0.25">
      <c r="A12" s="45" t="s">
        <v>946</v>
      </c>
      <c r="B12" s="41" t="s">
        <v>947</v>
      </c>
    </row>
    <row r="13" spans="1:2" x14ac:dyDescent="0.25">
      <c r="A13" s="45"/>
      <c r="B13" s="41"/>
    </row>
    <row r="14" spans="1:2" x14ac:dyDescent="0.25">
      <c r="A14" s="43" t="s">
        <v>12</v>
      </c>
      <c r="B14" s="44"/>
    </row>
    <row r="15" spans="1:2" ht="28.5" x14ac:dyDescent="0.25">
      <c r="A15" s="45" t="s">
        <v>30</v>
      </c>
      <c r="B15" s="41" t="s">
        <v>948</v>
      </c>
    </row>
    <row r="16" spans="1:2" ht="28.5" x14ac:dyDescent="0.25">
      <c r="A16" s="45" t="s">
        <v>43</v>
      </c>
      <c r="B16" s="41" t="s">
        <v>949</v>
      </c>
    </row>
    <row r="17" spans="1:2" x14ac:dyDescent="0.25">
      <c r="A17" s="45" t="s">
        <v>58</v>
      </c>
      <c r="B17" s="41" t="s">
        <v>950</v>
      </c>
    </row>
    <row r="18" spans="1:2" x14ac:dyDescent="0.25">
      <c r="A18" s="45" t="s">
        <v>50</v>
      </c>
      <c r="B18" s="41" t="s">
        <v>951</v>
      </c>
    </row>
    <row r="19" spans="1:2" ht="28.5" x14ac:dyDescent="0.25">
      <c r="A19" s="45" t="s">
        <v>952</v>
      </c>
      <c r="B19" s="41" t="s">
        <v>953</v>
      </c>
    </row>
    <row r="20" spans="1:2" x14ac:dyDescent="0.25">
      <c r="A20" s="45"/>
      <c r="B20" s="41"/>
    </row>
    <row r="21" spans="1:2" x14ac:dyDescent="0.25">
      <c r="A21" s="43" t="s">
        <v>954</v>
      </c>
      <c r="B21" s="44"/>
    </row>
    <row r="22" spans="1:2" x14ac:dyDescent="0.25">
      <c r="A22" s="45" t="s">
        <v>955</v>
      </c>
      <c r="B22" s="41" t="s">
        <v>956</v>
      </c>
    </row>
    <row r="23" spans="1:2" ht="28.5" x14ac:dyDescent="0.25">
      <c r="A23" s="45" t="s">
        <v>957</v>
      </c>
      <c r="B23" s="41" t="s">
        <v>958</v>
      </c>
    </row>
    <row r="24" spans="1:2" ht="42.75" x14ac:dyDescent="0.25">
      <c r="A24" s="45" t="s">
        <v>959</v>
      </c>
      <c r="B24" s="41" t="s">
        <v>960</v>
      </c>
    </row>
    <row r="25" spans="1:2" ht="28.5" x14ac:dyDescent="0.25">
      <c r="A25" s="45" t="s">
        <v>961</v>
      </c>
      <c r="B25" s="41" t="s">
        <v>962</v>
      </c>
    </row>
  </sheetData>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2068AE-19BE-4F66-AA4F-E50C00860C0D}">
  <dimension ref="A1:E68"/>
  <sheetViews>
    <sheetView topLeftCell="A62" workbookViewId="0">
      <selection activeCell="A67" sqref="A67:E67"/>
    </sheetView>
  </sheetViews>
  <sheetFormatPr defaultRowHeight="15" x14ac:dyDescent="0.25"/>
  <cols>
    <col min="1" max="1" width="22.7109375" customWidth="1"/>
    <col min="2" max="2" width="30.7109375" customWidth="1"/>
    <col min="3" max="3" width="34.7109375" customWidth="1"/>
    <col min="4" max="4" width="30.7109375" customWidth="1"/>
    <col min="5" max="5" width="50.7109375" customWidth="1"/>
  </cols>
  <sheetData>
    <row r="1" spans="1:5" x14ac:dyDescent="0.25">
      <c r="A1" s="50" t="s">
        <v>1016</v>
      </c>
      <c r="B1" s="50"/>
      <c r="C1" s="50"/>
      <c r="D1" s="50"/>
      <c r="E1" s="50"/>
    </row>
    <row r="2" spans="1:5" ht="27" customHeight="1" x14ac:dyDescent="0.25">
      <c r="A2" s="47" t="s">
        <v>1017</v>
      </c>
      <c r="B2" s="49" t="s">
        <v>1018</v>
      </c>
      <c r="C2" s="49"/>
      <c r="D2" s="49"/>
      <c r="E2" s="49"/>
    </row>
    <row r="3" spans="1:5" ht="27" customHeight="1" x14ac:dyDescent="0.25">
      <c r="A3" s="47" t="s">
        <v>1019</v>
      </c>
      <c r="B3" s="49" t="s">
        <v>1020</v>
      </c>
      <c r="C3" s="49"/>
      <c r="D3" s="49"/>
      <c r="E3" s="49"/>
    </row>
    <row r="4" spans="1:5" ht="27" customHeight="1" x14ac:dyDescent="0.25">
      <c r="A4" s="47" t="s">
        <v>1021</v>
      </c>
      <c r="B4" s="49" t="s">
        <v>1022</v>
      </c>
      <c r="C4" s="49"/>
      <c r="D4" s="49"/>
      <c r="E4" s="49"/>
    </row>
    <row r="5" spans="1:5" ht="13.5" customHeight="1" x14ac:dyDescent="0.25">
      <c r="A5" s="47" t="s">
        <v>1023</v>
      </c>
      <c r="B5" s="49" t="s">
        <v>1024</v>
      </c>
      <c r="C5" s="49"/>
      <c r="D5" s="49"/>
      <c r="E5" s="49"/>
    </row>
    <row r="6" spans="1:5" ht="40.5" customHeight="1" x14ac:dyDescent="0.25">
      <c r="A6" s="47" t="s">
        <v>1166</v>
      </c>
      <c r="B6" s="49" t="s">
        <v>1167</v>
      </c>
      <c r="C6" s="49"/>
      <c r="D6" s="49"/>
      <c r="E6" s="49"/>
    </row>
    <row r="7" spans="1:5" ht="54" customHeight="1" x14ac:dyDescent="0.25">
      <c r="A7" s="47" t="s">
        <v>1168</v>
      </c>
      <c r="B7" s="49" t="s">
        <v>1169</v>
      </c>
      <c r="C7" s="49"/>
      <c r="D7" s="49"/>
      <c r="E7" s="49"/>
    </row>
    <row r="8" spans="1:5" ht="13.5" customHeight="1" x14ac:dyDescent="0.25">
      <c r="A8" s="47" t="s">
        <v>1025</v>
      </c>
      <c r="B8" s="49" t="s">
        <v>1026</v>
      </c>
      <c r="C8" s="49"/>
      <c r="D8" s="49"/>
      <c r="E8" s="49"/>
    </row>
    <row r="9" spans="1:5" x14ac:dyDescent="0.25">
      <c r="A9" s="46"/>
      <c r="B9" s="46"/>
      <c r="C9" s="46"/>
      <c r="D9" s="46"/>
      <c r="E9" s="46"/>
    </row>
    <row r="10" spans="1:5" x14ac:dyDescent="0.25">
      <c r="A10" s="50" t="s">
        <v>1027</v>
      </c>
      <c r="B10" s="50"/>
      <c r="C10" s="50"/>
      <c r="D10" s="50"/>
      <c r="E10" s="50"/>
    </row>
    <row r="11" spans="1:5" x14ac:dyDescent="0.25">
      <c r="A11" s="48" t="s">
        <v>1028</v>
      </c>
      <c r="B11" s="48" t="s">
        <v>1029</v>
      </c>
      <c r="C11" s="48" t="s">
        <v>1030</v>
      </c>
      <c r="D11" s="48" t="s">
        <v>1031</v>
      </c>
      <c r="E11" s="48" t="s">
        <v>19</v>
      </c>
    </row>
    <row r="12" spans="1:5" x14ac:dyDescent="0.25">
      <c r="A12" s="47" t="s">
        <v>1032</v>
      </c>
      <c r="B12" s="47" t="s">
        <v>1033</v>
      </c>
      <c r="C12" s="47" t="s">
        <v>1034</v>
      </c>
      <c r="D12" s="47" t="s">
        <v>1035</v>
      </c>
      <c r="E12" s="47" t="s">
        <v>1154</v>
      </c>
    </row>
    <row r="13" spans="1:5" ht="28.5" x14ac:dyDescent="0.25">
      <c r="A13" s="47" t="s">
        <v>1036</v>
      </c>
      <c r="B13" s="47" t="s">
        <v>1037</v>
      </c>
      <c r="C13" s="47" t="s">
        <v>1034</v>
      </c>
      <c r="D13" s="47" t="s">
        <v>1038</v>
      </c>
      <c r="E13" s="47" t="s">
        <v>1039</v>
      </c>
    </row>
    <row r="14" spans="1:5" ht="28.5" x14ac:dyDescent="0.25">
      <c r="A14" s="47" t="s">
        <v>1040</v>
      </c>
      <c r="B14" s="47" t="s">
        <v>1041</v>
      </c>
      <c r="C14" s="47" t="s">
        <v>1042</v>
      </c>
      <c r="D14" s="47" t="s">
        <v>1043</v>
      </c>
      <c r="E14" s="47" t="s">
        <v>1044</v>
      </c>
    </row>
    <row r="15" spans="1:5" ht="28.5" x14ac:dyDescent="0.25">
      <c r="A15" s="47" t="s">
        <v>1045</v>
      </c>
      <c r="B15" s="47" t="s">
        <v>1046</v>
      </c>
      <c r="C15" s="47" t="s">
        <v>1047</v>
      </c>
      <c r="D15" s="47" t="s">
        <v>1048</v>
      </c>
      <c r="E15" s="47" t="s">
        <v>1154</v>
      </c>
    </row>
    <row r="16" spans="1:5" x14ac:dyDescent="0.25">
      <c r="A16" s="46"/>
      <c r="B16" s="46"/>
      <c r="C16" s="46"/>
      <c r="D16" s="46"/>
      <c r="E16" s="46"/>
    </row>
    <row r="17" spans="1:5" x14ac:dyDescent="0.25">
      <c r="A17" s="50" t="s">
        <v>1049</v>
      </c>
      <c r="B17" s="50"/>
      <c r="C17" s="50"/>
      <c r="D17" s="50"/>
      <c r="E17" s="50"/>
    </row>
    <row r="18" spans="1:5" x14ac:dyDescent="0.25">
      <c r="A18" s="48" t="s">
        <v>1050</v>
      </c>
      <c r="B18" s="48" t="s">
        <v>1032</v>
      </c>
      <c r="C18" s="48" t="s">
        <v>1040</v>
      </c>
      <c r="D18" s="48" t="s">
        <v>1051</v>
      </c>
      <c r="E18" s="48" t="s">
        <v>1052</v>
      </c>
    </row>
    <row r="19" spans="1:5" x14ac:dyDescent="0.25">
      <c r="A19" s="47" t="s">
        <v>1053</v>
      </c>
      <c r="B19" s="47" t="s">
        <v>1054</v>
      </c>
      <c r="C19" s="47" t="s">
        <v>1055</v>
      </c>
      <c r="D19" s="47" t="s">
        <v>1155</v>
      </c>
      <c r="E19" s="47" t="s">
        <v>1056</v>
      </c>
    </row>
    <row r="20" spans="1:5" ht="42.75" x14ac:dyDescent="0.25">
      <c r="A20" s="47" t="s">
        <v>1057</v>
      </c>
      <c r="B20" s="47" t="s">
        <v>1058</v>
      </c>
      <c r="C20" s="47" t="s">
        <v>1059</v>
      </c>
      <c r="D20" s="47" t="s">
        <v>1060</v>
      </c>
      <c r="E20" s="47" t="s">
        <v>1056</v>
      </c>
    </row>
    <row r="21" spans="1:5" x14ac:dyDescent="0.25">
      <c r="A21" s="47" t="s">
        <v>1061</v>
      </c>
      <c r="B21" s="47" t="s">
        <v>1062</v>
      </c>
      <c r="C21" s="47" t="s">
        <v>1063</v>
      </c>
      <c r="D21" s="47" t="s">
        <v>1156</v>
      </c>
      <c r="E21" s="47" t="s">
        <v>1064</v>
      </c>
    </row>
    <row r="22" spans="1:5" ht="40.5" customHeight="1" x14ac:dyDescent="0.25">
      <c r="A22" s="47" t="s">
        <v>1170</v>
      </c>
      <c r="B22" s="49" t="s">
        <v>1171</v>
      </c>
      <c r="C22" s="49"/>
      <c r="D22" s="49"/>
      <c r="E22" s="49"/>
    </row>
    <row r="23" spans="1:5" ht="27" customHeight="1" x14ac:dyDescent="0.25">
      <c r="A23" s="47" t="s">
        <v>1065</v>
      </c>
      <c r="B23" s="49" t="s">
        <v>1066</v>
      </c>
      <c r="C23" s="49"/>
      <c r="D23" s="49"/>
      <c r="E23" s="49"/>
    </row>
    <row r="24" spans="1:5" ht="13.5" customHeight="1" x14ac:dyDescent="0.25">
      <c r="A24" s="47" t="s">
        <v>1052</v>
      </c>
      <c r="B24" s="49" t="s">
        <v>1067</v>
      </c>
      <c r="C24" s="49"/>
      <c r="D24" s="49"/>
      <c r="E24" s="49"/>
    </row>
    <row r="25" spans="1:5" ht="13.5" customHeight="1" x14ac:dyDescent="0.25">
      <c r="A25" s="47" t="s">
        <v>1068</v>
      </c>
      <c r="B25" s="49" t="s">
        <v>1172</v>
      </c>
      <c r="C25" s="49"/>
      <c r="D25" s="49"/>
      <c r="E25" s="49"/>
    </row>
    <row r="26" spans="1:5" x14ac:dyDescent="0.25">
      <c r="A26" s="46"/>
      <c r="B26" s="46"/>
      <c r="C26" s="46"/>
      <c r="D26" s="46"/>
      <c r="E26" s="46"/>
    </row>
    <row r="27" spans="1:5" x14ac:dyDescent="0.25">
      <c r="A27" s="50" t="s">
        <v>1069</v>
      </c>
      <c r="B27" s="50"/>
      <c r="C27" s="50"/>
      <c r="D27" s="50"/>
      <c r="E27" s="50"/>
    </row>
    <row r="28" spans="1:5" ht="27" customHeight="1" x14ac:dyDescent="0.25">
      <c r="A28" s="47" t="s">
        <v>1070</v>
      </c>
      <c r="B28" s="49" t="s">
        <v>1071</v>
      </c>
      <c r="C28" s="49"/>
      <c r="D28" s="49"/>
      <c r="E28" s="49"/>
    </row>
    <row r="29" spans="1:5" ht="13.5" customHeight="1" x14ac:dyDescent="0.25">
      <c r="A29" s="47" t="s">
        <v>1051</v>
      </c>
      <c r="B29" s="49" t="s">
        <v>1072</v>
      </c>
      <c r="C29" s="49"/>
      <c r="D29" s="49"/>
      <c r="E29" s="49"/>
    </row>
    <row r="30" spans="1:5" ht="27" customHeight="1" x14ac:dyDescent="0.25">
      <c r="A30" s="47" t="s">
        <v>1073</v>
      </c>
      <c r="B30" s="49" t="s">
        <v>1074</v>
      </c>
      <c r="C30" s="49"/>
      <c r="D30" s="49"/>
      <c r="E30" s="49"/>
    </row>
    <row r="31" spans="1:5" ht="27" customHeight="1" x14ac:dyDescent="0.25">
      <c r="A31" s="47" t="s">
        <v>1075</v>
      </c>
      <c r="B31" s="49" t="s">
        <v>1076</v>
      </c>
      <c r="C31" s="49"/>
      <c r="D31" s="49"/>
      <c r="E31" s="49"/>
    </row>
    <row r="32" spans="1:5" ht="13.5" customHeight="1" x14ac:dyDescent="0.25">
      <c r="A32" s="47" t="s">
        <v>1077</v>
      </c>
      <c r="B32" s="49" t="s">
        <v>1078</v>
      </c>
      <c r="C32" s="49"/>
      <c r="D32" s="49"/>
      <c r="E32" s="49"/>
    </row>
    <row r="33" spans="1:5" ht="27" customHeight="1" x14ac:dyDescent="0.25">
      <c r="A33" s="47" t="s">
        <v>1079</v>
      </c>
      <c r="B33" s="49" t="s">
        <v>1157</v>
      </c>
      <c r="C33" s="49"/>
      <c r="D33" s="49"/>
      <c r="E33" s="49"/>
    </row>
    <row r="34" spans="1:5" x14ac:dyDescent="0.25">
      <c r="A34" s="46"/>
      <c r="B34" s="46"/>
      <c r="C34" s="46"/>
      <c r="D34" s="46"/>
      <c r="E34" s="46"/>
    </row>
    <row r="35" spans="1:5" x14ac:dyDescent="0.25">
      <c r="A35" s="50" t="s">
        <v>1080</v>
      </c>
      <c r="B35" s="50"/>
      <c r="C35" s="50"/>
      <c r="D35" s="50"/>
      <c r="E35" s="50"/>
    </row>
    <row r="36" spans="1:5" ht="13.5" customHeight="1" x14ac:dyDescent="0.25">
      <c r="A36" s="47" t="s">
        <v>1081</v>
      </c>
      <c r="B36" s="49" t="s">
        <v>1082</v>
      </c>
      <c r="C36" s="49"/>
      <c r="D36" s="49"/>
      <c r="E36" s="49"/>
    </row>
    <row r="37" spans="1:5" ht="27" customHeight="1" x14ac:dyDescent="0.25">
      <c r="A37" s="47" t="s">
        <v>1083</v>
      </c>
      <c r="B37" s="49" t="s">
        <v>1084</v>
      </c>
      <c r="C37" s="49"/>
      <c r="D37" s="49"/>
      <c r="E37" s="49"/>
    </row>
    <row r="38" spans="1:5" ht="13.5" customHeight="1" x14ac:dyDescent="0.25">
      <c r="A38" s="47" t="s">
        <v>1085</v>
      </c>
      <c r="B38" s="49" t="s">
        <v>1086</v>
      </c>
      <c r="C38" s="49"/>
      <c r="D38" s="49"/>
      <c r="E38" s="49"/>
    </row>
    <row r="39" spans="1:5" ht="13.5" customHeight="1" x14ac:dyDescent="0.25">
      <c r="A39" s="47" t="s">
        <v>1087</v>
      </c>
      <c r="B39" s="49" t="s">
        <v>1088</v>
      </c>
      <c r="C39" s="49"/>
      <c r="D39" s="49"/>
      <c r="E39" s="49"/>
    </row>
    <row r="40" spans="1:5" x14ac:dyDescent="0.25">
      <c r="A40" s="46"/>
      <c r="B40" s="46"/>
      <c r="C40" s="46"/>
      <c r="D40" s="46"/>
      <c r="E40" s="46"/>
    </row>
    <row r="41" spans="1:5" x14ac:dyDescent="0.25">
      <c r="A41" s="50" t="s">
        <v>1089</v>
      </c>
      <c r="B41" s="50"/>
      <c r="C41" s="50"/>
      <c r="D41" s="50"/>
      <c r="E41" s="50"/>
    </row>
    <row r="42" spans="1:5" ht="27" customHeight="1" x14ac:dyDescent="0.25">
      <c r="A42" s="47" t="s">
        <v>1090</v>
      </c>
      <c r="B42" s="49" t="s">
        <v>1091</v>
      </c>
      <c r="C42" s="49"/>
      <c r="D42" s="49"/>
      <c r="E42" s="49"/>
    </row>
    <row r="43" spans="1:5" ht="27" customHeight="1" x14ac:dyDescent="0.25">
      <c r="A43" s="47" t="s">
        <v>1092</v>
      </c>
      <c r="B43" s="49" t="s">
        <v>1093</v>
      </c>
      <c r="C43" s="49"/>
      <c r="D43" s="49"/>
      <c r="E43" s="49"/>
    </row>
    <row r="44" spans="1:5" ht="27" customHeight="1" x14ac:dyDescent="0.25">
      <c r="A44" s="47" t="s">
        <v>1094</v>
      </c>
      <c r="B44" s="49" t="s">
        <v>1095</v>
      </c>
      <c r="C44" s="49"/>
      <c r="D44" s="49"/>
      <c r="E44" s="49"/>
    </row>
    <row r="45" spans="1:5" x14ac:dyDescent="0.25">
      <c r="A45" s="46"/>
      <c r="B45" s="46"/>
      <c r="C45" s="46"/>
      <c r="D45" s="46"/>
      <c r="E45" s="46"/>
    </row>
    <row r="46" spans="1:5" x14ac:dyDescent="0.25">
      <c r="A46" s="50" t="s">
        <v>1096</v>
      </c>
      <c r="B46" s="50"/>
      <c r="C46" s="50"/>
      <c r="D46" s="50"/>
      <c r="E46" s="50"/>
    </row>
    <row r="47" spans="1:5" ht="27" customHeight="1" x14ac:dyDescent="0.25">
      <c r="A47" s="47" t="s">
        <v>963</v>
      </c>
      <c r="B47" s="49" t="s">
        <v>1097</v>
      </c>
      <c r="C47" s="49"/>
      <c r="D47" s="49"/>
      <c r="E47" s="49"/>
    </row>
    <row r="48" spans="1:5" ht="13.5" customHeight="1" x14ac:dyDescent="0.25">
      <c r="A48" s="47" t="s">
        <v>964</v>
      </c>
      <c r="B48" s="49" t="s">
        <v>1098</v>
      </c>
      <c r="C48" s="49"/>
      <c r="D48" s="49"/>
      <c r="E48" s="49"/>
    </row>
    <row r="49" spans="1:5" ht="40.5" customHeight="1" x14ac:dyDescent="0.25">
      <c r="A49" s="47" t="s">
        <v>965</v>
      </c>
      <c r="B49" s="49" t="s">
        <v>1173</v>
      </c>
      <c r="C49" s="49"/>
      <c r="D49" s="49"/>
      <c r="E49" s="49"/>
    </row>
    <row r="50" spans="1:5" ht="13.5" customHeight="1" x14ac:dyDescent="0.25">
      <c r="A50" s="47" t="s">
        <v>966</v>
      </c>
      <c r="B50" s="49" t="s">
        <v>1099</v>
      </c>
      <c r="C50" s="49"/>
      <c r="D50" s="49"/>
      <c r="E50" s="49"/>
    </row>
    <row r="51" spans="1:5" ht="27" customHeight="1" x14ac:dyDescent="0.25">
      <c r="A51" s="47" t="s">
        <v>1100</v>
      </c>
      <c r="B51" s="49" t="s">
        <v>1174</v>
      </c>
      <c r="C51" s="49"/>
      <c r="D51" s="49"/>
      <c r="E51" s="49"/>
    </row>
    <row r="52" spans="1:5" x14ac:dyDescent="0.25">
      <c r="A52" s="46"/>
      <c r="B52" s="46"/>
      <c r="C52" s="46"/>
      <c r="D52" s="46"/>
      <c r="E52" s="46"/>
    </row>
    <row r="53" spans="1:5" x14ac:dyDescent="0.25">
      <c r="A53" s="50" t="s">
        <v>1101</v>
      </c>
      <c r="B53" s="50"/>
      <c r="C53" s="50"/>
      <c r="D53" s="50"/>
      <c r="E53" s="50"/>
    </row>
    <row r="54" spans="1:5" x14ac:dyDescent="0.25">
      <c r="A54" s="48" t="s">
        <v>1102</v>
      </c>
      <c r="B54" s="48" t="s">
        <v>1103</v>
      </c>
      <c r="C54" s="48" t="s">
        <v>1104</v>
      </c>
      <c r="D54" s="48" t="s">
        <v>1154</v>
      </c>
      <c r="E54" s="48" t="s">
        <v>1105</v>
      </c>
    </row>
    <row r="55" spans="1:5" x14ac:dyDescent="0.25">
      <c r="A55" s="47" t="s">
        <v>1106</v>
      </c>
      <c r="B55" s="47" t="s">
        <v>1158</v>
      </c>
      <c r="C55" s="47" t="s">
        <v>1107</v>
      </c>
      <c r="D55" s="47" t="s">
        <v>1154</v>
      </c>
      <c r="E55" s="47" t="s">
        <v>1108</v>
      </c>
    </row>
    <row r="56" spans="1:5" x14ac:dyDescent="0.25">
      <c r="A56" s="47" t="s">
        <v>1109</v>
      </c>
      <c r="B56" s="47" t="s">
        <v>1159</v>
      </c>
      <c r="C56" s="47" t="s">
        <v>1110</v>
      </c>
      <c r="D56" s="47" t="s">
        <v>1154</v>
      </c>
      <c r="E56" s="47" t="s">
        <v>1111</v>
      </c>
    </row>
    <row r="57" spans="1:5" x14ac:dyDescent="0.25">
      <c r="A57" s="47" t="s">
        <v>1112</v>
      </c>
      <c r="B57" s="47" t="s">
        <v>1160</v>
      </c>
      <c r="C57" s="47" t="s">
        <v>1113</v>
      </c>
      <c r="D57" s="47" t="s">
        <v>1154</v>
      </c>
      <c r="E57" s="47" t="s">
        <v>1114</v>
      </c>
    </row>
    <row r="58" spans="1:5" ht="28.5" x14ac:dyDescent="0.25">
      <c r="A58" s="47" t="s">
        <v>1115</v>
      </c>
      <c r="B58" s="47" t="s">
        <v>1116</v>
      </c>
      <c r="C58" s="47" t="s">
        <v>1117</v>
      </c>
      <c r="D58" s="47" t="s">
        <v>1154</v>
      </c>
      <c r="E58" s="47" t="s">
        <v>1118</v>
      </c>
    </row>
    <row r="59" spans="1:5" ht="28.5" x14ac:dyDescent="0.25">
      <c r="A59" s="47" t="s">
        <v>1119</v>
      </c>
      <c r="B59" s="47" t="s">
        <v>1120</v>
      </c>
      <c r="C59" s="47" t="s">
        <v>1121</v>
      </c>
      <c r="D59" s="47" t="s">
        <v>1154</v>
      </c>
      <c r="E59" s="47" t="s">
        <v>1122</v>
      </c>
    </row>
    <row r="60" spans="1:5" ht="28.5" x14ac:dyDescent="0.25">
      <c r="A60" s="47" t="s">
        <v>1123</v>
      </c>
      <c r="B60" s="47" t="s">
        <v>1124</v>
      </c>
      <c r="C60" s="47" t="s">
        <v>1125</v>
      </c>
      <c r="D60" s="47" t="s">
        <v>1154</v>
      </c>
      <c r="E60" s="47" t="s">
        <v>1126</v>
      </c>
    </row>
    <row r="61" spans="1:5" ht="28.5" x14ac:dyDescent="0.25">
      <c r="A61" s="47" t="s">
        <v>1127</v>
      </c>
      <c r="B61" s="47" t="s">
        <v>1128</v>
      </c>
      <c r="C61" s="47" t="s">
        <v>1129</v>
      </c>
      <c r="D61" s="47" t="s">
        <v>1154</v>
      </c>
      <c r="E61" s="47" t="s">
        <v>1130</v>
      </c>
    </row>
    <row r="62" spans="1:5" x14ac:dyDescent="0.25">
      <c r="A62" s="47" t="s">
        <v>1131</v>
      </c>
      <c r="B62" s="47" t="s">
        <v>1132</v>
      </c>
      <c r="C62" s="47" t="s">
        <v>1133</v>
      </c>
      <c r="D62" s="47" t="s">
        <v>1154</v>
      </c>
      <c r="E62" s="47" t="s">
        <v>1134</v>
      </c>
    </row>
    <row r="63" spans="1:5" ht="28.5" x14ac:dyDescent="0.25">
      <c r="A63" s="47" t="s">
        <v>1135</v>
      </c>
      <c r="B63" s="47" t="s">
        <v>1161</v>
      </c>
      <c r="C63" s="47" t="s">
        <v>1136</v>
      </c>
      <c r="D63" s="47" t="s">
        <v>1154</v>
      </c>
      <c r="E63" s="47" t="s">
        <v>1137</v>
      </c>
    </row>
    <row r="64" spans="1:5" x14ac:dyDescent="0.25">
      <c r="A64" s="47" t="s">
        <v>1138</v>
      </c>
      <c r="B64" s="47" t="s">
        <v>1139</v>
      </c>
      <c r="C64" s="47" t="s">
        <v>1140</v>
      </c>
      <c r="D64" s="47" t="s">
        <v>1154</v>
      </c>
      <c r="E64" s="47" t="s">
        <v>1141</v>
      </c>
    </row>
    <row r="65" spans="1:5" x14ac:dyDescent="0.25">
      <c r="A65" s="47" t="s">
        <v>1142</v>
      </c>
      <c r="B65" s="47" t="s">
        <v>1143</v>
      </c>
      <c r="C65" s="47" t="s">
        <v>1144</v>
      </c>
      <c r="D65" s="47" t="s">
        <v>1154</v>
      </c>
      <c r="E65" s="47" t="s">
        <v>1145</v>
      </c>
    </row>
    <row r="66" spans="1:5" ht="28.5" x14ac:dyDescent="0.25">
      <c r="A66" s="47" t="s">
        <v>1146</v>
      </c>
      <c r="B66" s="47" t="s">
        <v>1147</v>
      </c>
      <c r="C66" s="47" t="s">
        <v>1148</v>
      </c>
      <c r="D66" s="47" t="s">
        <v>1154</v>
      </c>
      <c r="E66" s="47" t="s">
        <v>1149</v>
      </c>
    </row>
    <row r="67" spans="1:5" ht="28.5" x14ac:dyDescent="0.25">
      <c r="A67" s="47" t="s">
        <v>1150</v>
      </c>
      <c r="B67" s="47" t="s">
        <v>1151</v>
      </c>
      <c r="C67" s="47" t="s">
        <v>1152</v>
      </c>
      <c r="D67" s="47" t="s">
        <v>1154</v>
      </c>
      <c r="E67" s="47" t="s">
        <v>1153</v>
      </c>
    </row>
    <row r="68" spans="1:5" x14ac:dyDescent="0.25">
      <c r="A68" s="46"/>
      <c r="B68" s="46"/>
      <c r="C68" s="46"/>
      <c r="D68" s="46"/>
      <c r="E68" s="46"/>
    </row>
  </sheetData>
  <mergeCells count="37">
    <mergeCell ref="A53:E53"/>
    <mergeCell ref="A46:E46"/>
    <mergeCell ref="B47:E47"/>
    <mergeCell ref="B48:E48"/>
    <mergeCell ref="B49:E49"/>
    <mergeCell ref="B50:E50"/>
    <mergeCell ref="B51:E51"/>
    <mergeCell ref="B38:E38"/>
    <mergeCell ref="B39:E39"/>
    <mergeCell ref="A41:E41"/>
    <mergeCell ref="B42:E42"/>
    <mergeCell ref="B43:E43"/>
    <mergeCell ref="B44:E44"/>
    <mergeCell ref="B31:E31"/>
    <mergeCell ref="B32:E32"/>
    <mergeCell ref="B33:E33"/>
    <mergeCell ref="A35:E35"/>
    <mergeCell ref="B36:E36"/>
    <mergeCell ref="B37:E37"/>
    <mergeCell ref="B24:E24"/>
    <mergeCell ref="B25:E25"/>
    <mergeCell ref="A27:E27"/>
    <mergeCell ref="B28:E28"/>
    <mergeCell ref="B29:E29"/>
    <mergeCell ref="B30:E30"/>
    <mergeCell ref="B7:E7"/>
    <mergeCell ref="B8:E8"/>
    <mergeCell ref="A10:E10"/>
    <mergeCell ref="A17:E17"/>
    <mergeCell ref="B22:E22"/>
    <mergeCell ref="B23:E23"/>
    <mergeCell ref="A1:E1"/>
    <mergeCell ref="B2:E2"/>
    <mergeCell ref="B3:E3"/>
    <mergeCell ref="B4:E4"/>
    <mergeCell ref="B5:E5"/>
    <mergeCell ref="B6:E6"/>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5</vt:i4>
      </vt:variant>
    </vt:vector>
  </HeadingPairs>
  <TitlesOfParts>
    <vt:vector size="5" baseType="lpstr">
      <vt:lpstr>Abilities</vt:lpstr>
      <vt:lpstr>Tiers</vt:lpstr>
      <vt:lpstr>Trees</vt:lpstr>
      <vt:lpstr>Rules &amp; Legend</vt:lpstr>
      <vt:lpstr>Timing Rules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Eloi Gélinier</cp:lastModifiedBy>
  <cp:revision>0</cp:revision>
  <dcterms:created xsi:type="dcterms:W3CDTF">2026-10-12T06:29:30Z</dcterms:created>
  <dcterms:modified xsi:type="dcterms:W3CDTF">2026-10-26T13:55:31Z</dcterms:modified>
  <dc:language>en-US</dc:language>
</cp:coreProperties>
</file>